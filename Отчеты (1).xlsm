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325" codeName="{2109D909-C6D8-E34B-4C66-09127ED2DC46}"/>
  <workbookPr updateLinks="never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Det\Documents\"/>
    </mc:Choice>
  </mc:AlternateContent>
  <xr:revisionPtr revIDLastSave="0" documentId="13_ncr:1_{AE8989F2-4EB9-4634-8962-48C2C3644478}" xr6:coauthVersionLast="45" xr6:coauthVersionMax="45" xr10:uidLastSave="{00000000-0000-0000-0000-000000000000}"/>
  <bookViews>
    <workbookView xWindow="-120" yWindow="-120" windowWidth="21840" windowHeight="13140" tabRatio="826" xr2:uid="{00000000-000D-0000-FFFF-FFFF00000000}"/>
  </bookViews>
  <sheets>
    <sheet name="01.2020" sheetId="28" r:id="rId1"/>
    <sheet name="Овертаймы, км. (EN)" sheetId="11" r:id="rId2"/>
    <sheet name="Шаблон на месяц" sheetId="10" r:id="rId3"/>
    <sheet name="Списки" sheetId="15" r:id="rId4"/>
    <sheet name="list" sheetId="27" r:id="rId5"/>
  </sheets>
  <externalReferences>
    <externalReference r:id="rId6"/>
  </externalReferences>
  <definedNames>
    <definedName name="_xlnm.Print_Area" localSheetId="0">'01.2020'!$A$1:$H$1054</definedName>
    <definedName name="_xlnm.Print_Area" localSheetId="2">'Шаблон на месяц'!$A$1:$H$1054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S20" i="28" l="1"/>
  <c r="C733" i="28" l="1"/>
  <c r="C731" i="28"/>
  <c r="C729" i="28"/>
  <c r="C727" i="28"/>
  <c r="C725" i="28"/>
  <c r="E733" i="28"/>
  <c r="E731" i="28"/>
  <c r="E729" i="28"/>
  <c r="E727" i="28"/>
  <c r="E725" i="28"/>
  <c r="E723" i="28"/>
  <c r="C697" i="28"/>
  <c r="C699" i="28"/>
  <c r="C701" i="28"/>
  <c r="E695" i="28"/>
  <c r="E697" i="28"/>
  <c r="E699" i="28"/>
  <c r="E703" i="28"/>
  <c r="E567" i="28"/>
  <c r="E441" i="28" l="1"/>
  <c r="E439" i="28"/>
  <c r="E437" i="28"/>
  <c r="E435" i="28"/>
  <c r="E433" i="28"/>
  <c r="E431" i="28"/>
  <c r="E429" i="28"/>
  <c r="E427" i="28"/>
  <c r="E425" i="28"/>
  <c r="E423" i="28"/>
  <c r="E421" i="28"/>
  <c r="E419" i="28"/>
  <c r="E417" i="28"/>
  <c r="E415" i="28"/>
  <c r="E413" i="28"/>
  <c r="C413" i="28"/>
  <c r="C415" i="28"/>
  <c r="C417" i="28"/>
  <c r="C419" i="28"/>
  <c r="C421" i="28"/>
  <c r="C423" i="28"/>
  <c r="C425" i="28"/>
  <c r="C427" i="28"/>
  <c r="C429" i="28"/>
  <c r="C431" i="28"/>
  <c r="C433" i="28"/>
  <c r="C435" i="28"/>
  <c r="C437" i="28"/>
  <c r="C439" i="28"/>
  <c r="C441" i="28"/>
  <c r="E319" i="28" l="1"/>
  <c r="E321" i="28"/>
  <c r="E323" i="28"/>
  <c r="E325" i="28"/>
  <c r="E327" i="28"/>
  <c r="E329" i="28"/>
  <c r="E331" i="28"/>
  <c r="E333" i="28"/>
  <c r="E335" i="28"/>
  <c r="C319" i="28"/>
  <c r="C321" i="28"/>
  <c r="C323" i="28"/>
  <c r="C325" i="28"/>
  <c r="C327" i="28"/>
  <c r="C329" i="28"/>
  <c r="C331" i="28"/>
  <c r="C333" i="28"/>
  <c r="C335" i="28"/>
  <c r="C337" i="28"/>
  <c r="E287" i="28" l="1"/>
  <c r="C287" i="28"/>
  <c r="E285" i="28"/>
  <c r="C285" i="28"/>
  <c r="H1054" i="28"/>
  <c r="P32" i="28" s="1"/>
  <c r="F1054" i="28"/>
  <c r="O32" i="28" s="1"/>
  <c r="E1053" i="28"/>
  <c r="C1053" i="28"/>
  <c r="E1051" i="28"/>
  <c r="C1051" i="28"/>
  <c r="E1049" i="28"/>
  <c r="C1049" i="28"/>
  <c r="E1047" i="28"/>
  <c r="C1047" i="28"/>
  <c r="E1045" i="28"/>
  <c r="C1045" i="28"/>
  <c r="E1043" i="28"/>
  <c r="C1043" i="28"/>
  <c r="E1041" i="28"/>
  <c r="C1041" i="28"/>
  <c r="E1039" i="28"/>
  <c r="C1039" i="28"/>
  <c r="E1037" i="28"/>
  <c r="C1035" i="28"/>
  <c r="E1033" i="28"/>
  <c r="C1033" i="28"/>
  <c r="E1031" i="28"/>
  <c r="C1031" i="28"/>
  <c r="E1029" i="28"/>
  <c r="C1029" i="28"/>
  <c r="E1027" i="28"/>
  <c r="C1027" i="28"/>
  <c r="E1025" i="28"/>
  <c r="C1025" i="28"/>
  <c r="A1021" i="28"/>
  <c r="H1020" i="28"/>
  <c r="P31" i="28" s="1"/>
  <c r="F1020" i="28"/>
  <c r="O31" i="28" s="1"/>
  <c r="E1019" i="28"/>
  <c r="C1019" i="28"/>
  <c r="E1017" i="28"/>
  <c r="C1017" i="28"/>
  <c r="E1015" i="28"/>
  <c r="C1015" i="28"/>
  <c r="E1013" i="28"/>
  <c r="C1013" i="28"/>
  <c r="E1011" i="28"/>
  <c r="C1011" i="28"/>
  <c r="E1009" i="28"/>
  <c r="C1009" i="28"/>
  <c r="E1007" i="28"/>
  <c r="C1007" i="28"/>
  <c r="E1005" i="28"/>
  <c r="C1005" i="28"/>
  <c r="E1003" i="28"/>
  <c r="C1001" i="28"/>
  <c r="E999" i="28"/>
  <c r="C997" i="28"/>
  <c r="E995" i="28"/>
  <c r="C993" i="28"/>
  <c r="E991" i="28"/>
  <c r="C991" i="28"/>
  <c r="A987" i="28"/>
  <c r="H986" i="28"/>
  <c r="F986" i="28"/>
  <c r="E985" i="28"/>
  <c r="C985" i="28"/>
  <c r="E983" i="28"/>
  <c r="C983" i="28"/>
  <c r="E981" i="28"/>
  <c r="C981" i="28"/>
  <c r="E979" i="28"/>
  <c r="C979" i="28"/>
  <c r="E977" i="28"/>
  <c r="C977" i="28"/>
  <c r="E975" i="28"/>
  <c r="C975" i="28"/>
  <c r="E973" i="28"/>
  <c r="C971" i="28"/>
  <c r="E969" i="28"/>
  <c r="C969" i="28"/>
  <c r="E967" i="28"/>
  <c r="C967" i="28"/>
  <c r="E965" i="28"/>
  <c r="C965" i="28"/>
  <c r="E963" i="28"/>
  <c r="C963" i="28"/>
  <c r="E961" i="28"/>
  <c r="C959" i="28"/>
  <c r="E957" i="28"/>
  <c r="C957" i="28"/>
  <c r="A953" i="28"/>
  <c r="H952" i="28"/>
  <c r="P29" i="28" s="1"/>
  <c r="F952" i="28"/>
  <c r="E951" i="28"/>
  <c r="C951" i="28"/>
  <c r="E949" i="28"/>
  <c r="C949" i="28"/>
  <c r="E947" i="28"/>
  <c r="C947" i="28"/>
  <c r="E945" i="28"/>
  <c r="C945" i="28"/>
  <c r="E943" i="28"/>
  <c r="C943" i="28"/>
  <c r="E941" i="28"/>
  <c r="C941" i="28"/>
  <c r="E939" i="28"/>
  <c r="C939" i="28"/>
  <c r="E937" i="28"/>
  <c r="C935" i="28"/>
  <c r="E933" i="28"/>
  <c r="C933" i="28"/>
  <c r="E931" i="28"/>
  <c r="C929" i="28"/>
  <c r="E927" i="28"/>
  <c r="C925" i="28"/>
  <c r="E923" i="28"/>
  <c r="C923" i="28"/>
  <c r="A919" i="28"/>
  <c r="J29" i="28" s="1"/>
  <c r="H918" i="28"/>
  <c r="P28" i="28" s="1"/>
  <c r="F918" i="28"/>
  <c r="E917" i="28"/>
  <c r="C917" i="28"/>
  <c r="E915" i="28"/>
  <c r="C915" i="28"/>
  <c r="E913" i="28"/>
  <c r="C913" i="28"/>
  <c r="E911" i="28"/>
  <c r="C911" i="28"/>
  <c r="E909" i="28"/>
  <c r="C909" i="28"/>
  <c r="E907" i="28"/>
  <c r="C907" i="28"/>
  <c r="E905" i="28"/>
  <c r="C905" i="28"/>
  <c r="E903" i="28"/>
  <c r="C901" i="28"/>
  <c r="E899" i="28"/>
  <c r="C899" i="28"/>
  <c r="E897" i="28"/>
  <c r="C897" i="28"/>
  <c r="E895" i="28"/>
  <c r="C895" i="28"/>
  <c r="E893" i="28"/>
  <c r="C893" i="28"/>
  <c r="E891" i="28"/>
  <c r="C891" i="28"/>
  <c r="E889" i="28"/>
  <c r="C889" i="28"/>
  <c r="A885" i="28"/>
  <c r="H884" i="28"/>
  <c r="F884" i="28"/>
  <c r="O27" i="28" s="1"/>
  <c r="E883" i="28"/>
  <c r="C883" i="28"/>
  <c r="E881" i="28"/>
  <c r="C881" i="28"/>
  <c r="E879" i="28"/>
  <c r="C879" i="28"/>
  <c r="E877" i="28"/>
  <c r="C877" i="28"/>
  <c r="E875" i="28"/>
  <c r="C875" i="28"/>
  <c r="E873" i="28"/>
  <c r="C873" i="28"/>
  <c r="E871" i="28"/>
  <c r="C871" i="28"/>
  <c r="E869" i="28"/>
  <c r="C869" i="28"/>
  <c r="E867" i="28"/>
  <c r="C867" i="28"/>
  <c r="E865" i="28"/>
  <c r="C865" i="28"/>
  <c r="E863" i="28"/>
  <c r="C863" i="28"/>
  <c r="E861" i="28"/>
  <c r="C861" i="28"/>
  <c r="E859" i="28"/>
  <c r="C859" i="28"/>
  <c r="E857" i="28"/>
  <c r="C857" i="28"/>
  <c r="E855" i="28"/>
  <c r="C855" i="28"/>
  <c r="A851" i="28"/>
  <c r="H850" i="28"/>
  <c r="F850" i="28"/>
  <c r="O26" i="28" s="1"/>
  <c r="E849" i="28"/>
  <c r="C849" i="28"/>
  <c r="E847" i="28"/>
  <c r="C847" i="28"/>
  <c r="E845" i="28"/>
  <c r="C845" i="28"/>
  <c r="E843" i="28"/>
  <c r="C843" i="28"/>
  <c r="E841" i="28"/>
  <c r="C841" i="28"/>
  <c r="E839" i="28"/>
  <c r="C839" i="28"/>
  <c r="E837" i="28"/>
  <c r="C837" i="28"/>
  <c r="E835" i="28"/>
  <c r="C835" i="28"/>
  <c r="E833" i="28"/>
  <c r="C833" i="28"/>
  <c r="E831" i="28"/>
  <c r="C831" i="28"/>
  <c r="E829" i="28"/>
  <c r="C829" i="28"/>
  <c r="E827" i="28"/>
  <c r="C827" i="28"/>
  <c r="E825" i="28"/>
  <c r="C825" i="28"/>
  <c r="E823" i="28"/>
  <c r="C823" i="28"/>
  <c r="E821" i="28"/>
  <c r="C821" i="28"/>
  <c r="A817" i="28"/>
  <c r="J26" i="28" s="1"/>
  <c r="H816" i="28"/>
  <c r="P25" i="28" s="1"/>
  <c r="F816" i="28"/>
  <c r="O25" i="28" s="1"/>
  <c r="E815" i="28"/>
  <c r="C815" i="28"/>
  <c r="E813" i="28"/>
  <c r="C813" i="28"/>
  <c r="E811" i="28"/>
  <c r="C811" i="28"/>
  <c r="E809" i="28"/>
  <c r="C809" i="28"/>
  <c r="E807" i="28"/>
  <c r="C807" i="28"/>
  <c r="E805" i="28"/>
  <c r="C805" i="28"/>
  <c r="E803" i="28"/>
  <c r="C803" i="28"/>
  <c r="E801" i="28"/>
  <c r="C801" i="28"/>
  <c r="E799" i="28"/>
  <c r="C797" i="28"/>
  <c r="E795" i="28"/>
  <c r="C795" i="28"/>
  <c r="E793" i="28"/>
  <c r="C793" i="28"/>
  <c r="E791" i="28"/>
  <c r="C789" i="28"/>
  <c r="E787" i="28"/>
  <c r="C787" i="28"/>
  <c r="A783" i="28"/>
  <c r="J25" i="28" s="1"/>
  <c r="H782" i="28"/>
  <c r="P24" i="28" s="1"/>
  <c r="F782" i="28"/>
  <c r="E781" i="28"/>
  <c r="C781" i="28"/>
  <c r="E779" i="28"/>
  <c r="C779" i="28"/>
  <c r="E777" i="28"/>
  <c r="C777" i="28"/>
  <c r="E775" i="28"/>
  <c r="C775" i="28"/>
  <c r="E773" i="28"/>
  <c r="C773" i="28"/>
  <c r="E771" i="28"/>
  <c r="C771" i="28"/>
  <c r="E769" i="28"/>
  <c r="C769" i="28"/>
  <c r="E767" i="28"/>
  <c r="C767" i="28"/>
  <c r="E765" i="28"/>
  <c r="C763" i="28"/>
  <c r="E761" i="28"/>
  <c r="C761" i="28"/>
  <c r="E759" i="28"/>
  <c r="C759" i="28"/>
  <c r="E757" i="28"/>
  <c r="C757" i="28"/>
  <c r="E755" i="28"/>
  <c r="C755" i="28"/>
  <c r="E753" i="28"/>
  <c r="C753" i="28"/>
  <c r="A749" i="28"/>
  <c r="J24" i="28" s="1"/>
  <c r="H748" i="28"/>
  <c r="P23" i="28" s="1"/>
  <c r="F748" i="28"/>
  <c r="O23" i="28" s="1"/>
  <c r="E747" i="28"/>
  <c r="C747" i="28"/>
  <c r="E745" i="28"/>
  <c r="C745" i="28"/>
  <c r="E743" i="28"/>
  <c r="C743" i="28"/>
  <c r="E741" i="28"/>
  <c r="C741" i="28"/>
  <c r="E739" i="28"/>
  <c r="C739" i="28"/>
  <c r="E737" i="28"/>
  <c r="C737" i="28"/>
  <c r="C723" i="28"/>
  <c r="E721" i="28"/>
  <c r="C721" i="28"/>
  <c r="E719" i="28"/>
  <c r="C719" i="28"/>
  <c r="A715" i="28"/>
  <c r="H714" i="28"/>
  <c r="P22" i="28" s="1"/>
  <c r="F714" i="28"/>
  <c r="O22" i="28" s="1"/>
  <c r="E713" i="28"/>
  <c r="C713" i="28"/>
  <c r="E711" i="28"/>
  <c r="C711" i="28"/>
  <c r="E709" i="28"/>
  <c r="C709" i="28"/>
  <c r="E707" i="28"/>
  <c r="C707" i="28"/>
  <c r="E705" i="28"/>
  <c r="C705" i="28"/>
  <c r="C695" i="28"/>
  <c r="E693" i="28"/>
  <c r="C693" i="28"/>
  <c r="E691" i="28"/>
  <c r="C691" i="28"/>
  <c r="E689" i="28"/>
  <c r="C689" i="28"/>
  <c r="E687" i="28"/>
  <c r="C687" i="28"/>
  <c r="E685" i="28"/>
  <c r="C685" i="28"/>
  <c r="A681" i="28"/>
  <c r="J22" i="28" s="1"/>
  <c r="H680" i="28"/>
  <c r="P21" i="28" s="1"/>
  <c r="F680" i="28"/>
  <c r="O21" i="28" s="1"/>
  <c r="E679" i="28"/>
  <c r="C679" i="28"/>
  <c r="E677" i="28"/>
  <c r="C677" i="28"/>
  <c r="E675" i="28"/>
  <c r="C675" i="28"/>
  <c r="E673" i="28"/>
  <c r="C673" i="28"/>
  <c r="E671" i="28"/>
  <c r="C671" i="28"/>
  <c r="E669" i="28"/>
  <c r="C669" i="28"/>
  <c r="E667" i="28"/>
  <c r="C667" i="28"/>
  <c r="E665" i="28"/>
  <c r="C665" i="28"/>
  <c r="E663" i="28"/>
  <c r="C663" i="28"/>
  <c r="E661" i="28"/>
  <c r="C661" i="28"/>
  <c r="E659" i="28"/>
  <c r="C659" i="28"/>
  <c r="E657" i="28"/>
  <c r="C657" i="28"/>
  <c r="E655" i="28"/>
  <c r="C655" i="28"/>
  <c r="E653" i="28"/>
  <c r="C653" i="28"/>
  <c r="E651" i="28"/>
  <c r="C651" i="28"/>
  <c r="A647" i="28"/>
  <c r="J21" i="28" s="1"/>
  <c r="H646" i="28"/>
  <c r="P20" i="28" s="1"/>
  <c r="F646" i="28"/>
  <c r="O20" i="28" s="1"/>
  <c r="E645" i="28"/>
  <c r="C645" i="28"/>
  <c r="E643" i="28"/>
  <c r="C643" i="28"/>
  <c r="E641" i="28"/>
  <c r="C641" i="28"/>
  <c r="E639" i="28"/>
  <c r="C639" i="28"/>
  <c r="E637" i="28"/>
  <c r="C637" i="28"/>
  <c r="E635" i="28"/>
  <c r="C635" i="28"/>
  <c r="E633" i="28"/>
  <c r="C633" i="28"/>
  <c r="E631" i="28"/>
  <c r="C631" i="28"/>
  <c r="E629" i="28"/>
  <c r="C629" i="28"/>
  <c r="E627" i="28"/>
  <c r="C627" i="28"/>
  <c r="E625" i="28"/>
  <c r="C625" i="28"/>
  <c r="E623" i="28"/>
  <c r="C623" i="28"/>
  <c r="E621" i="28"/>
  <c r="C621" i="28"/>
  <c r="E619" i="28"/>
  <c r="C619" i="28"/>
  <c r="E617" i="28"/>
  <c r="C617" i="28"/>
  <c r="A613" i="28"/>
  <c r="J20" i="28" s="1"/>
  <c r="H612" i="28"/>
  <c r="P19" i="28" s="1"/>
  <c r="F612" i="28"/>
  <c r="E611" i="28"/>
  <c r="C611" i="28"/>
  <c r="E609" i="28"/>
  <c r="C609" i="28"/>
  <c r="E607" i="28"/>
  <c r="C607" i="28"/>
  <c r="E605" i="28"/>
  <c r="C605" i="28"/>
  <c r="E603" i="28"/>
  <c r="C603" i="28"/>
  <c r="E601" i="28"/>
  <c r="C601" i="28"/>
  <c r="E599" i="28"/>
  <c r="C599" i="28"/>
  <c r="E597" i="28"/>
  <c r="C597" i="28"/>
  <c r="E595" i="28"/>
  <c r="C595" i="28"/>
  <c r="E593" i="28"/>
  <c r="C593" i="28"/>
  <c r="E591" i="28"/>
  <c r="C591" i="28"/>
  <c r="E589" i="28"/>
  <c r="C589" i="28"/>
  <c r="E587" i="28"/>
  <c r="C587" i="28"/>
  <c r="E585" i="28"/>
  <c r="C585" i="28"/>
  <c r="E583" i="28"/>
  <c r="C583" i="28"/>
  <c r="A579" i="28"/>
  <c r="J19" i="28" s="1"/>
  <c r="H578" i="28"/>
  <c r="P18" i="28" s="1"/>
  <c r="F578" i="28"/>
  <c r="O18" i="28" s="1"/>
  <c r="E577" i="28"/>
  <c r="C577" i="28"/>
  <c r="E575" i="28"/>
  <c r="C575" i="28"/>
  <c r="E573" i="28"/>
  <c r="C573" i="28"/>
  <c r="E571" i="28"/>
  <c r="C571" i="28"/>
  <c r="E569" i="28"/>
  <c r="C569" i="28"/>
  <c r="C567" i="28"/>
  <c r="E565" i="28"/>
  <c r="C565" i="28"/>
  <c r="E563" i="28"/>
  <c r="C563" i="28"/>
  <c r="E561" i="28"/>
  <c r="C561" i="28"/>
  <c r="E559" i="28"/>
  <c r="C559" i="28"/>
  <c r="E557" i="28"/>
  <c r="C555" i="28"/>
  <c r="A545" i="28"/>
  <c r="J18" i="28" s="1"/>
  <c r="H544" i="28"/>
  <c r="P17" i="28" s="1"/>
  <c r="F544" i="28"/>
  <c r="O17" i="28" s="1"/>
  <c r="E543" i="28"/>
  <c r="C543" i="28"/>
  <c r="E541" i="28"/>
  <c r="C541" i="28"/>
  <c r="E539" i="28"/>
  <c r="C539" i="28"/>
  <c r="E537" i="28"/>
  <c r="C537" i="28"/>
  <c r="E535" i="28"/>
  <c r="C535" i="28"/>
  <c r="E533" i="28"/>
  <c r="C533" i="28"/>
  <c r="E531" i="28"/>
  <c r="C531" i="28"/>
  <c r="E529" i="28"/>
  <c r="C529" i="28"/>
  <c r="E527" i="28"/>
  <c r="C527" i="28"/>
  <c r="E525" i="28"/>
  <c r="C525" i="28"/>
  <c r="E523" i="28"/>
  <c r="C523" i="28"/>
  <c r="E521" i="28"/>
  <c r="C521" i="28"/>
  <c r="A511" i="28"/>
  <c r="H510" i="28"/>
  <c r="P16" i="28" s="1"/>
  <c r="F510" i="28"/>
  <c r="O16" i="28" s="1"/>
  <c r="E509" i="28"/>
  <c r="C509" i="28"/>
  <c r="E507" i="28"/>
  <c r="C507" i="28"/>
  <c r="E505" i="28"/>
  <c r="C505" i="28"/>
  <c r="E503" i="28"/>
  <c r="C503" i="28"/>
  <c r="E501" i="28"/>
  <c r="C501" i="28"/>
  <c r="E499" i="28"/>
  <c r="C499" i="28"/>
  <c r="E497" i="28"/>
  <c r="C497" i="28"/>
  <c r="E495" i="28"/>
  <c r="C495" i="28"/>
  <c r="E493" i="28"/>
  <c r="C493" i="28"/>
  <c r="E491" i="28"/>
  <c r="C491" i="28"/>
  <c r="E489" i="28"/>
  <c r="C489" i="28"/>
  <c r="E487" i="28"/>
  <c r="C487" i="28"/>
  <c r="A477" i="28"/>
  <c r="J16" i="28" s="1"/>
  <c r="H476" i="28"/>
  <c r="P15" i="28" s="1"/>
  <c r="F476" i="28"/>
  <c r="O15" i="28" s="1"/>
  <c r="E475" i="28"/>
  <c r="C473" i="28"/>
  <c r="E471" i="28"/>
  <c r="C471" i="28"/>
  <c r="E469" i="28"/>
  <c r="C469" i="28"/>
  <c r="E467" i="28"/>
  <c r="C467" i="28"/>
  <c r="E465" i="28"/>
  <c r="C465" i="28"/>
  <c r="E463" i="28"/>
  <c r="C463" i="28"/>
  <c r="E461" i="28"/>
  <c r="C461" i="28"/>
  <c r="E459" i="28"/>
  <c r="C459" i="28"/>
  <c r="E457" i="28"/>
  <c r="C457" i="28"/>
  <c r="E455" i="28"/>
  <c r="C455" i="28"/>
  <c r="E453" i="28"/>
  <c r="C453" i="28"/>
  <c r="A443" i="28"/>
  <c r="J15" i="28" s="1"/>
  <c r="H442" i="28"/>
  <c r="P14" i="28" s="1"/>
  <c r="F442" i="28"/>
  <c r="O14" i="28" s="1"/>
  <c r="A409" i="28"/>
  <c r="H408" i="28"/>
  <c r="F408" i="28"/>
  <c r="E407" i="28"/>
  <c r="C407" i="28"/>
  <c r="E405" i="28"/>
  <c r="C405" i="28"/>
  <c r="E403" i="28"/>
  <c r="C403" i="28"/>
  <c r="E401" i="28"/>
  <c r="C401" i="28"/>
  <c r="E399" i="28"/>
  <c r="C399" i="28"/>
  <c r="E397" i="28"/>
  <c r="C397" i="28"/>
  <c r="E395" i="28"/>
  <c r="C395" i="28"/>
  <c r="E393" i="28"/>
  <c r="C393" i="28"/>
  <c r="E391" i="28"/>
  <c r="C391" i="28"/>
  <c r="E389" i="28"/>
  <c r="C389" i="28"/>
  <c r="E387" i="28"/>
  <c r="C387" i="28"/>
  <c r="E385" i="28"/>
  <c r="C385" i="28"/>
  <c r="E383" i="28"/>
  <c r="C383" i="28"/>
  <c r="E381" i="28"/>
  <c r="C381" i="28"/>
  <c r="E379" i="28"/>
  <c r="C379" i="28"/>
  <c r="A375" i="28"/>
  <c r="J13" i="28" s="1"/>
  <c r="H374" i="28"/>
  <c r="P12" i="28" s="1"/>
  <c r="F374" i="28"/>
  <c r="O12" i="28" s="1"/>
  <c r="E373" i="28"/>
  <c r="C373" i="28"/>
  <c r="E371" i="28"/>
  <c r="C371" i="28"/>
  <c r="E369" i="28"/>
  <c r="C369" i="28"/>
  <c r="E367" i="28"/>
  <c r="C367" i="28"/>
  <c r="E365" i="28"/>
  <c r="C365" i="28"/>
  <c r="E363" i="28"/>
  <c r="C363" i="28"/>
  <c r="E361" i="28"/>
  <c r="C361" i="28"/>
  <c r="E359" i="28"/>
  <c r="C359" i="28"/>
  <c r="E357" i="28"/>
  <c r="C357" i="28"/>
  <c r="E355" i="28"/>
  <c r="C355" i="28"/>
  <c r="E353" i="28"/>
  <c r="C353" i="28"/>
  <c r="E351" i="28"/>
  <c r="C351" i="28"/>
  <c r="E349" i="28"/>
  <c r="C349" i="28"/>
  <c r="E347" i="28"/>
  <c r="C347" i="28"/>
  <c r="E345" i="28"/>
  <c r="C345" i="28"/>
  <c r="A341" i="28"/>
  <c r="H340" i="28"/>
  <c r="P11" i="28" s="1"/>
  <c r="F340" i="28"/>
  <c r="O11" i="28" s="1"/>
  <c r="E339" i="28"/>
  <c r="C339" i="28"/>
  <c r="E337" i="28"/>
  <c r="A307" i="28"/>
  <c r="J11" i="28" s="1"/>
  <c r="H306" i="28"/>
  <c r="P10" i="28" s="1"/>
  <c r="O10" i="28"/>
  <c r="E305" i="28"/>
  <c r="C305" i="28"/>
  <c r="E303" i="28"/>
  <c r="C303" i="28"/>
  <c r="E301" i="28"/>
  <c r="C301" i="28"/>
  <c r="E299" i="28"/>
  <c r="C299" i="28"/>
  <c r="E297" i="28"/>
  <c r="C295" i="28"/>
  <c r="E293" i="28"/>
  <c r="C293" i="28"/>
  <c r="E291" i="28"/>
  <c r="C291" i="28"/>
  <c r="E289" i="28"/>
  <c r="C289" i="28"/>
  <c r="E283" i="28"/>
  <c r="C283" i="28"/>
  <c r="E281" i="28"/>
  <c r="C277" i="28"/>
  <c r="A273" i="28"/>
  <c r="H272" i="28"/>
  <c r="F272" i="28"/>
  <c r="E271" i="28"/>
  <c r="C271" i="28"/>
  <c r="E269" i="28"/>
  <c r="C269" i="28"/>
  <c r="E267" i="28"/>
  <c r="C267" i="28"/>
  <c r="E265" i="28"/>
  <c r="C265" i="28"/>
  <c r="E263" i="28"/>
  <c r="C263" i="28"/>
  <c r="E261" i="28"/>
  <c r="C261" i="28"/>
  <c r="E259" i="28"/>
  <c r="C259" i="28"/>
  <c r="E257" i="28"/>
  <c r="C257" i="28"/>
  <c r="E255" i="28"/>
  <c r="C255" i="28"/>
  <c r="E253" i="28"/>
  <c r="C253" i="28"/>
  <c r="E251" i="28"/>
  <c r="C251" i="28"/>
  <c r="E249" i="28"/>
  <c r="C249" i="28"/>
  <c r="E247" i="28"/>
  <c r="C247" i="28"/>
  <c r="E245" i="28"/>
  <c r="C245" i="28"/>
  <c r="E243" i="28"/>
  <c r="C243" i="28"/>
  <c r="A239" i="28"/>
  <c r="J9" i="28" s="1"/>
  <c r="H238" i="28"/>
  <c r="F238" i="28"/>
  <c r="E237" i="28"/>
  <c r="C237" i="28"/>
  <c r="E235" i="28"/>
  <c r="C235" i="28"/>
  <c r="E233" i="28"/>
  <c r="C233" i="28"/>
  <c r="E231" i="28"/>
  <c r="C231" i="28"/>
  <c r="E229" i="28"/>
  <c r="C229" i="28"/>
  <c r="E227" i="28"/>
  <c r="C227" i="28"/>
  <c r="E225" i="28"/>
  <c r="C225" i="28"/>
  <c r="E223" i="28"/>
  <c r="C223" i="28"/>
  <c r="E221" i="28"/>
  <c r="C221" i="28"/>
  <c r="E219" i="28"/>
  <c r="C219" i="28"/>
  <c r="E217" i="28"/>
  <c r="C217" i="28"/>
  <c r="E215" i="28"/>
  <c r="C215" i="28"/>
  <c r="E213" i="28"/>
  <c r="C213" i="28"/>
  <c r="E211" i="28"/>
  <c r="C211" i="28"/>
  <c r="E209" i="28"/>
  <c r="C209" i="28"/>
  <c r="A205" i="28"/>
  <c r="H204" i="28"/>
  <c r="P7" i="28" s="1"/>
  <c r="F204" i="28"/>
  <c r="O7" i="28" s="1"/>
  <c r="E203" i="28"/>
  <c r="C203" i="28"/>
  <c r="E201" i="28"/>
  <c r="C201" i="28"/>
  <c r="E199" i="28"/>
  <c r="C199" i="28"/>
  <c r="E197" i="28"/>
  <c r="C197" i="28"/>
  <c r="E195" i="28"/>
  <c r="C195" i="28"/>
  <c r="E193" i="28"/>
  <c r="C193" i="28"/>
  <c r="E191" i="28"/>
  <c r="C191" i="28"/>
  <c r="E189" i="28"/>
  <c r="C189" i="28"/>
  <c r="E187" i="28"/>
  <c r="C187" i="28"/>
  <c r="E185" i="28"/>
  <c r="C185" i="28"/>
  <c r="E183" i="28"/>
  <c r="C183" i="28"/>
  <c r="E181" i="28"/>
  <c r="C181" i="28"/>
  <c r="E179" i="28"/>
  <c r="C179" i="28"/>
  <c r="E177" i="28"/>
  <c r="C177" i="28"/>
  <c r="E175" i="28"/>
  <c r="C175" i="28"/>
  <c r="A171" i="28"/>
  <c r="J7" i="28" s="1"/>
  <c r="H170" i="28"/>
  <c r="P6" i="28" s="1"/>
  <c r="F170" i="28"/>
  <c r="O6" i="28" s="1"/>
  <c r="E169" i="28"/>
  <c r="C169" i="28"/>
  <c r="E167" i="28"/>
  <c r="C167" i="28"/>
  <c r="E165" i="28"/>
  <c r="C165" i="28"/>
  <c r="E163" i="28"/>
  <c r="C163" i="28"/>
  <c r="E161" i="28"/>
  <c r="C161" i="28"/>
  <c r="E159" i="28"/>
  <c r="C159" i="28"/>
  <c r="E157" i="28"/>
  <c r="C157" i="28"/>
  <c r="E155" i="28"/>
  <c r="C155" i="28"/>
  <c r="E153" i="28"/>
  <c r="C153" i="28"/>
  <c r="E151" i="28"/>
  <c r="C151" i="28"/>
  <c r="E149" i="28"/>
  <c r="C149" i="28"/>
  <c r="E147" i="28"/>
  <c r="C147" i="28"/>
  <c r="E145" i="28"/>
  <c r="C145" i="28"/>
  <c r="E143" i="28"/>
  <c r="C143" i="28"/>
  <c r="E141" i="28"/>
  <c r="C141" i="28"/>
  <c r="A137" i="28"/>
  <c r="H136" i="28"/>
  <c r="F136" i="28"/>
  <c r="O5" i="28" s="1"/>
  <c r="E135" i="28"/>
  <c r="C135" i="28"/>
  <c r="E133" i="28"/>
  <c r="C133" i="28"/>
  <c r="E131" i="28"/>
  <c r="C131" i="28"/>
  <c r="E129" i="28"/>
  <c r="C129" i="28"/>
  <c r="E127" i="28"/>
  <c r="C127" i="28"/>
  <c r="E125" i="28"/>
  <c r="C125" i="28"/>
  <c r="E123" i="28"/>
  <c r="C123" i="28"/>
  <c r="E121" i="28"/>
  <c r="C121" i="28"/>
  <c r="E119" i="28"/>
  <c r="C119" i="28"/>
  <c r="E117" i="28"/>
  <c r="C117" i="28"/>
  <c r="E115" i="28"/>
  <c r="C115" i="28"/>
  <c r="E113" i="28"/>
  <c r="C113" i="28"/>
  <c r="E111" i="28"/>
  <c r="C111" i="28"/>
  <c r="E109" i="28"/>
  <c r="C109" i="28"/>
  <c r="E107" i="28"/>
  <c r="C107" i="28"/>
  <c r="A103" i="28"/>
  <c r="J5" i="28" s="1"/>
  <c r="H102" i="28"/>
  <c r="P4" i="28" s="1"/>
  <c r="F102" i="28"/>
  <c r="O4" i="28" s="1"/>
  <c r="E101" i="28"/>
  <c r="C101" i="28"/>
  <c r="E99" i="28"/>
  <c r="C99" i="28"/>
  <c r="E97" i="28"/>
  <c r="C97" i="28"/>
  <c r="E95" i="28"/>
  <c r="C95" i="28"/>
  <c r="E93" i="28"/>
  <c r="C93" i="28"/>
  <c r="E91" i="28"/>
  <c r="C91" i="28"/>
  <c r="E89" i="28"/>
  <c r="C89" i="28"/>
  <c r="E87" i="28"/>
  <c r="C87" i="28"/>
  <c r="E85" i="28"/>
  <c r="C85" i="28"/>
  <c r="E83" i="28"/>
  <c r="C83" i="28"/>
  <c r="E81" i="28"/>
  <c r="C81" i="28"/>
  <c r="E79" i="28"/>
  <c r="C79" i="28"/>
  <c r="E77" i="28"/>
  <c r="C77" i="28"/>
  <c r="E75" i="28"/>
  <c r="C75" i="28"/>
  <c r="E73" i="28"/>
  <c r="C73" i="28"/>
  <c r="A69" i="28"/>
  <c r="J4" i="28" s="1"/>
  <c r="H68" i="28"/>
  <c r="P3" i="28" s="1"/>
  <c r="F68" i="28"/>
  <c r="E67" i="28"/>
  <c r="C67" i="28"/>
  <c r="E65" i="28"/>
  <c r="C65" i="28"/>
  <c r="E63" i="28"/>
  <c r="C63" i="28"/>
  <c r="E61" i="28"/>
  <c r="C61" i="28"/>
  <c r="E59" i="28"/>
  <c r="C59" i="28"/>
  <c r="E57" i="28"/>
  <c r="C57" i="28"/>
  <c r="E55" i="28"/>
  <c r="C55" i="28"/>
  <c r="E53" i="28"/>
  <c r="C53" i="28"/>
  <c r="E51" i="28"/>
  <c r="C51" i="28"/>
  <c r="E49" i="28"/>
  <c r="C49" i="28"/>
  <c r="E47" i="28"/>
  <c r="C47" i="28"/>
  <c r="E45" i="28"/>
  <c r="C45" i="28"/>
  <c r="E43" i="28"/>
  <c r="C43" i="28"/>
  <c r="E41" i="28"/>
  <c r="C41" i="28"/>
  <c r="E39" i="28"/>
  <c r="C39" i="28"/>
  <c r="A35" i="28"/>
  <c r="J3" i="28" s="1"/>
  <c r="H34" i="28"/>
  <c r="P2" i="28" s="1"/>
  <c r="F34" i="28"/>
  <c r="O2" i="28" s="1"/>
  <c r="E33" i="28"/>
  <c r="C33" i="28"/>
  <c r="M32" i="28"/>
  <c r="L32" i="28"/>
  <c r="J32" i="28"/>
  <c r="M31" i="28"/>
  <c r="L31" i="28"/>
  <c r="J31" i="28"/>
  <c r="E31" i="28"/>
  <c r="C31" i="28"/>
  <c r="P30" i="28"/>
  <c r="M30" i="28"/>
  <c r="L30" i="28"/>
  <c r="J30" i="28"/>
  <c r="O29" i="28"/>
  <c r="M29" i="28"/>
  <c r="L29" i="28"/>
  <c r="E29" i="28"/>
  <c r="C29" i="28"/>
  <c r="S28" i="28"/>
  <c r="S33" i="28" s="1"/>
  <c r="O28" i="28"/>
  <c r="M28" i="28"/>
  <c r="N28" i="28" s="1"/>
  <c r="L28" i="28"/>
  <c r="J28" i="28"/>
  <c r="P27" i="28"/>
  <c r="M27" i="28"/>
  <c r="L27" i="28"/>
  <c r="J27" i="28"/>
  <c r="E27" i="28"/>
  <c r="C27" i="28"/>
  <c r="P26" i="28"/>
  <c r="M26" i="28"/>
  <c r="N26" i="28" s="1"/>
  <c r="L26" i="28"/>
  <c r="M25" i="28"/>
  <c r="L25" i="28"/>
  <c r="E25" i="28"/>
  <c r="C25" i="28"/>
  <c r="O24" i="28"/>
  <c r="M24" i="28"/>
  <c r="L24" i="28"/>
  <c r="M23" i="28"/>
  <c r="L23" i="28"/>
  <c r="J23" i="28"/>
  <c r="E23" i="28"/>
  <c r="C23" i="28"/>
  <c r="M22" i="28"/>
  <c r="L22" i="28"/>
  <c r="M21" i="28"/>
  <c r="L21" i="28"/>
  <c r="E21" i="28"/>
  <c r="C21" i="28"/>
  <c r="M20" i="28"/>
  <c r="N20" i="28" s="1"/>
  <c r="L20" i="28"/>
  <c r="O19" i="28"/>
  <c r="M19" i="28"/>
  <c r="L19" i="28"/>
  <c r="E19" i="28"/>
  <c r="C19" i="28"/>
  <c r="M18" i="28"/>
  <c r="L18" i="28"/>
  <c r="M17" i="28"/>
  <c r="L17" i="28"/>
  <c r="J17" i="28"/>
  <c r="E17" i="28"/>
  <c r="C17" i="28"/>
  <c r="M16" i="28"/>
  <c r="L16" i="28"/>
  <c r="M15" i="28"/>
  <c r="L15" i="28"/>
  <c r="E15" i="28"/>
  <c r="C15" i="28"/>
  <c r="M14" i="28"/>
  <c r="L14" i="28"/>
  <c r="J14" i="28"/>
  <c r="S13" i="28"/>
  <c r="P13" i="28"/>
  <c r="O13" i="28"/>
  <c r="M13" i="28"/>
  <c r="L13" i="28"/>
  <c r="E13" i="28"/>
  <c r="C13" i="28"/>
  <c r="M12" i="28"/>
  <c r="L12" i="28"/>
  <c r="J12" i="28"/>
  <c r="M11" i="28"/>
  <c r="L11" i="28"/>
  <c r="E11" i="28"/>
  <c r="C11" i="28"/>
  <c r="M10" i="28"/>
  <c r="N10" i="28" s="1"/>
  <c r="J10" i="28"/>
  <c r="P9" i="28"/>
  <c r="O9" i="28"/>
  <c r="M9" i="28"/>
  <c r="L9" i="28"/>
  <c r="E9" i="28"/>
  <c r="C9" i="28"/>
  <c r="P8" i="28"/>
  <c r="O8" i="28"/>
  <c r="M8" i="28"/>
  <c r="N8" i="28" s="1"/>
  <c r="L8" i="28"/>
  <c r="J8" i="28"/>
  <c r="M7" i="28"/>
  <c r="N7" i="28" s="1"/>
  <c r="L7" i="28"/>
  <c r="E7" i="28"/>
  <c r="C7" i="28"/>
  <c r="M6" i="28"/>
  <c r="L6" i="28"/>
  <c r="J6" i="28"/>
  <c r="P5" i="28"/>
  <c r="M5" i="28"/>
  <c r="L5" i="28"/>
  <c r="E5" i="28"/>
  <c r="C5" i="28"/>
  <c r="M4" i="28"/>
  <c r="N4" i="28" s="1"/>
  <c r="L4" i="28"/>
  <c r="O3" i="28"/>
  <c r="M3" i="28"/>
  <c r="N3" i="28" s="1"/>
  <c r="L3" i="28"/>
  <c r="M2" i="28"/>
  <c r="L2" i="28"/>
  <c r="A1" i="28"/>
  <c r="J2" i="28" s="1"/>
  <c r="N31" i="28" l="1"/>
  <c r="N13" i="28"/>
  <c r="N6" i="28"/>
  <c r="O30" i="28"/>
  <c r="O33" i="28" s="1"/>
  <c r="S17" i="28" s="1"/>
  <c r="S18" i="28" s="1"/>
  <c r="S31" i="28" s="1"/>
  <c r="N11" i="28"/>
  <c r="N21" i="28"/>
  <c r="N25" i="28"/>
  <c r="N24" i="28"/>
  <c r="N30" i="28"/>
  <c r="N22" i="28"/>
  <c r="N19" i="28"/>
  <c r="N23" i="28"/>
  <c r="N12" i="28"/>
  <c r="N2" i="28"/>
  <c r="N5" i="28"/>
  <c r="N9" i="28"/>
  <c r="N27" i="28"/>
  <c r="N29" i="28"/>
  <c r="N32" i="28"/>
  <c r="N18" i="28"/>
  <c r="N17" i="28"/>
  <c r="N16" i="28"/>
  <c r="N15" i="28"/>
  <c r="N14" i="28"/>
  <c r="P33" i="28"/>
  <c r="O39" i="28" l="1"/>
  <c r="O40" i="28"/>
  <c r="R22" i="28"/>
  <c r="S22" i="28"/>
  <c r="S32" i="28" s="1"/>
  <c r="O38" i="28" l="1"/>
  <c r="S34" i="28"/>
  <c r="O37" i="28" s="1"/>
  <c r="E22" i="27" l="1"/>
  <c r="E23" i="27"/>
  <c r="E24" i="27"/>
  <c r="E25" i="27"/>
  <c r="E3" i="27"/>
  <c r="E4" i="27"/>
  <c r="E5" i="27"/>
  <c r="E6" i="27"/>
  <c r="E7" i="27"/>
  <c r="E8" i="27"/>
  <c r="E9" i="27"/>
  <c r="E10" i="27"/>
  <c r="E11" i="27"/>
  <c r="E12" i="27"/>
  <c r="E13" i="27"/>
  <c r="E14" i="27"/>
  <c r="E15" i="27"/>
  <c r="E16" i="27"/>
  <c r="E17" i="27"/>
  <c r="E18" i="27"/>
  <c r="E19" i="27"/>
  <c r="E20" i="27"/>
  <c r="E21" i="27"/>
  <c r="E2" i="27"/>
  <c r="S13" i="10" l="1"/>
  <c r="C1017" i="10"/>
  <c r="E373" i="10"/>
  <c r="C305" i="10"/>
  <c r="C39" i="10" l="1"/>
  <c r="E39" i="10"/>
  <c r="C41" i="10"/>
  <c r="E41" i="10"/>
  <c r="C43" i="10"/>
  <c r="E43" i="10"/>
  <c r="C45" i="10"/>
  <c r="E45" i="10"/>
  <c r="C47" i="10"/>
  <c r="E47" i="10"/>
  <c r="C49" i="10"/>
  <c r="E49" i="10"/>
  <c r="C51" i="10"/>
  <c r="E51" i="10"/>
  <c r="C53" i="10"/>
  <c r="E53" i="10"/>
  <c r="C55" i="10"/>
  <c r="E55" i="10"/>
  <c r="C57" i="10"/>
  <c r="E57" i="10"/>
  <c r="C59" i="10"/>
  <c r="E59" i="10"/>
  <c r="C61" i="10"/>
  <c r="E61" i="10"/>
  <c r="C63" i="10"/>
  <c r="E63" i="10"/>
  <c r="C65" i="10"/>
  <c r="E65" i="10"/>
  <c r="C67" i="10"/>
  <c r="E67" i="10"/>
  <c r="E1053" i="10" l="1"/>
  <c r="C1053" i="10"/>
  <c r="E1051" i="10"/>
  <c r="C1051" i="10"/>
  <c r="E1049" i="10"/>
  <c r="C1049" i="10"/>
  <c r="E1047" i="10"/>
  <c r="C1047" i="10"/>
  <c r="E1045" i="10"/>
  <c r="C1045" i="10"/>
  <c r="E1043" i="10"/>
  <c r="C1043" i="10"/>
  <c r="E1041" i="10"/>
  <c r="C1041" i="10"/>
  <c r="E1039" i="10"/>
  <c r="C1039" i="10"/>
  <c r="E1037" i="10"/>
  <c r="C1037" i="10"/>
  <c r="E1035" i="10"/>
  <c r="C1035" i="10"/>
  <c r="E1033" i="10"/>
  <c r="C1033" i="10"/>
  <c r="E1031" i="10"/>
  <c r="C1031" i="10"/>
  <c r="E1029" i="10"/>
  <c r="C1029" i="10"/>
  <c r="E1027" i="10"/>
  <c r="C1027" i="10"/>
  <c r="E1025" i="10"/>
  <c r="C1025" i="10"/>
  <c r="E1019" i="10"/>
  <c r="C1019" i="10"/>
  <c r="E1017" i="10"/>
  <c r="E1015" i="10"/>
  <c r="C1015" i="10"/>
  <c r="E1013" i="10"/>
  <c r="C1013" i="10"/>
  <c r="E1011" i="10"/>
  <c r="C1011" i="10"/>
  <c r="E1009" i="10"/>
  <c r="C1009" i="10"/>
  <c r="E1007" i="10"/>
  <c r="C1007" i="10"/>
  <c r="E1005" i="10"/>
  <c r="C1005" i="10"/>
  <c r="E1003" i="10"/>
  <c r="C1003" i="10"/>
  <c r="E1001" i="10"/>
  <c r="C1001" i="10"/>
  <c r="E999" i="10"/>
  <c r="C999" i="10"/>
  <c r="E997" i="10"/>
  <c r="C997" i="10"/>
  <c r="E995" i="10"/>
  <c r="C995" i="10"/>
  <c r="E993" i="10"/>
  <c r="C993" i="10"/>
  <c r="E991" i="10"/>
  <c r="C991" i="10"/>
  <c r="E985" i="10"/>
  <c r="C985" i="10"/>
  <c r="E983" i="10"/>
  <c r="C983" i="10"/>
  <c r="E981" i="10"/>
  <c r="C981" i="10"/>
  <c r="E979" i="10"/>
  <c r="C979" i="10"/>
  <c r="E977" i="10"/>
  <c r="C977" i="10"/>
  <c r="E975" i="10"/>
  <c r="C975" i="10"/>
  <c r="E973" i="10"/>
  <c r="C973" i="10"/>
  <c r="E971" i="10"/>
  <c r="C971" i="10"/>
  <c r="E969" i="10"/>
  <c r="C969" i="10"/>
  <c r="E967" i="10"/>
  <c r="C967" i="10"/>
  <c r="E965" i="10"/>
  <c r="C965" i="10"/>
  <c r="E963" i="10"/>
  <c r="C963" i="10"/>
  <c r="E961" i="10"/>
  <c r="C961" i="10"/>
  <c r="E959" i="10"/>
  <c r="C959" i="10"/>
  <c r="E957" i="10"/>
  <c r="C957" i="10"/>
  <c r="E951" i="10"/>
  <c r="C951" i="10"/>
  <c r="E949" i="10"/>
  <c r="C949" i="10"/>
  <c r="E947" i="10"/>
  <c r="C947" i="10"/>
  <c r="E945" i="10"/>
  <c r="C945" i="10"/>
  <c r="E943" i="10"/>
  <c r="C943" i="10"/>
  <c r="E941" i="10"/>
  <c r="C941" i="10"/>
  <c r="E939" i="10"/>
  <c r="C939" i="10"/>
  <c r="E937" i="10"/>
  <c r="C937" i="10"/>
  <c r="E935" i="10"/>
  <c r="C935" i="10"/>
  <c r="E933" i="10"/>
  <c r="C933" i="10"/>
  <c r="E931" i="10"/>
  <c r="C931" i="10"/>
  <c r="E929" i="10"/>
  <c r="C929" i="10"/>
  <c r="E927" i="10"/>
  <c r="C927" i="10"/>
  <c r="E925" i="10"/>
  <c r="C925" i="10"/>
  <c r="E923" i="10"/>
  <c r="C923" i="10"/>
  <c r="E917" i="10"/>
  <c r="C917" i="10"/>
  <c r="E915" i="10"/>
  <c r="C915" i="10"/>
  <c r="E913" i="10"/>
  <c r="C913" i="10"/>
  <c r="E911" i="10"/>
  <c r="C911" i="10"/>
  <c r="E909" i="10"/>
  <c r="C909" i="10"/>
  <c r="E907" i="10"/>
  <c r="C907" i="10"/>
  <c r="E905" i="10"/>
  <c r="C905" i="10"/>
  <c r="E903" i="10"/>
  <c r="C903" i="10"/>
  <c r="E901" i="10"/>
  <c r="C901" i="10"/>
  <c r="E899" i="10"/>
  <c r="C899" i="10"/>
  <c r="E897" i="10"/>
  <c r="C897" i="10"/>
  <c r="E895" i="10"/>
  <c r="C895" i="10"/>
  <c r="E893" i="10"/>
  <c r="C893" i="10"/>
  <c r="E891" i="10"/>
  <c r="C891" i="10"/>
  <c r="E889" i="10"/>
  <c r="C889" i="10"/>
  <c r="E883" i="10"/>
  <c r="C883" i="10"/>
  <c r="E881" i="10"/>
  <c r="C881" i="10"/>
  <c r="E879" i="10"/>
  <c r="C879" i="10"/>
  <c r="E877" i="10"/>
  <c r="C877" i="10"/>
  <c r="E875" i="10"/>
  <c r="C875" i="10"/>
  <c r="E873" i="10"/>
  <c r="C873" i="10"/>
  <c r="E871" i="10"/>
  <c r="C871" i="10"/>
  <c r="E869" i="10"/>
  <c r="C869" i="10"/>
  <c r="E867" i="10"/>
  <c r="C867" i="10"/>
  <c r="E865" i="10"/>
  <c r="C865" i="10"/>
  <c r="E863" i="10"/>
  <c r="C863" i="10"/>
  <c r="E861" i="10"/>
  <c r="C861" i="10"/>
  <c r="E859" i="10"/>
  <c r="C859" i="10"/>
  <c r="E857" i="10"/>
  <c r="C857" i="10"/>
  <c r="E855" i="10"/>
  <c r="C855" i="10"/>
  <c r="E849" i="10"/>
  <c r="C849" i="10"/>
  <c r="E847" i="10"/>
  <c r="C847" i="10"/>
  <c r="E845" i="10"/>
  <c r="C845" i="10"/>
  <c r="E843" i="10"/>
  <c r="C843" i="10"/>
  <c r="E841" i="10"/>
  <c r="C841" i="10"/>
  <c r="E839" i="10"/>
  <c r="C839" i="10"/>
  <c r="E837" i="10"/>
  <c r="C837" i="10"/>
  <c r="E835" i="10"/>
  <c r="C835" i="10"/>
  <c r="E833" i="10"/>
  <c r="C833" i="10"/>
  <c r="E831" i="10"/>
  <c r="C831" i="10"/>
  <c r="E829" i="10"/>
  <c r="C829" i="10"/>
  <c r="E827" i="10"/>
  <c r="C827" i="10"/>
  <c r="E825" i="10"/>
  <c r="C825" i="10"/>
  <c r="E823" i="10"/>
  <c r="C823" i="10"/>
  <c r="E821" i="10"/>
  <c r="C821" i="10"/>
  <c r="E815" i="10"/>
  <c r="C815" i="10"/>
  <c r="E813" i="10"/>
  <c r="C813" i="10"/>
  <c r="E811" i="10"/>
  <c r="C811" i="10"/>
  <c r="E809" i="10"/>
  <c r="C809" i="10"/>
  <c r="E807" i="10"/>
  <c r="C807" i="10"/>
  <c r="E805" i="10"/>
  <c r="C805" i="10"/>
  <c r="E803" i="10"/>
  <c r="C803" i="10"/>
  <c r="E801" i="10"/>
  <c r="C801" i="10"/>
  <c r="E799" i="10"/>
  <c r="C799" i="10"/>
  <c r="E797" i="10"/>
  <c r="C797" i="10"/>
  <c r="E795" i="10"/>
  <c r="C795" i="10"/>
  <c r="E793" i="10"/>
  <c r="C793" i="10"/>
  <c r="E791" i="10"/>
  <c r="C791" i="10"/>
  <c r="E789" i="10"/>
  <c r="C789" i="10"/>
  <c r="E787" i="10"/>
  <c r="C787" i="10"/>
  <c r="E781" i="10"/>
  <c r="C781" i="10"/>
  <c r="E779" i="10"/>
  <c r="C779" i="10"/>
  <c r="E777" i="10"/>
  <c r="C777" i="10"/>
  <c r="E775" i="10"/>
  <c r="C775" i="10"/>
  <c r="E773" i="10"/>
  <c r="C773" i="10"/>
  <c r="E771" i="10"/>
  <c r="C771" i="10"/>
  <c r="E769" i="10"/>
  <c r="C769" i="10"/>
  <c r="E767" i="10"/>
  <c r="C767" i="10"/>
  <c r="E765" i="10"/>
  <c r="C765" i="10"/>
  <c r="E763" i="10"/>
  <c r="C763" i="10"/>
  <c r="E761" i="10"/>
  <c r="C761" i="10"/>
  <c r="E759" i="10"/>
  <c r="C759" i="10"/>
  <c r="E757" i="10"/>
  <c r="C757" i="10"/>
  <c r="E755" i="10"/>
  <c r="C755" i="10"/>
  <c r="E753" i="10"/>
  <c r="C753" i="10"/>
  <c r="E747" i="10"/>
  <c r="C747" i="10"/>
  <c r="E745" i="10"/>
  <c r="C745" i="10"/>
  <c r="E743" i="10"/>
  <c r="C743" i="10"/>
  <c r="E741" i="10"/>
  <c r="C741" i="10"/>
  <c r="E739" i="10"/>
  <c r="C739" i="10"/>
  <c r="E737" i="10"/>
  <c r="C737" i="10"/>
  <c r="E735" i="10"/>
  <c r="C735" i="10"/>
  <c r="E733" i="10"/>
  <c r="C733" i="10"/>
  <c r="E731" i="10"/>
  <c r="C731" i="10"/>
  <c r="E729" i="10"/>
  <c r="C729" i="10"/>
  <c r="E727" i="10"/>
  <c r="C727" i="10"/>
  <c r="E725" i="10"/>
  <c r="C725" i="10"/>
  <c r="E723" i="10"/>
  <c r="C723" i="10"/>
  <c r="E721" i="10"/>
  <c r="C721" i="10"/>
  <c r="E719" i="10"/>
  <c r="C719" i="10"/>
  <c r="E713" i="10"/>
  <c r="C713" i="10"/>
  <c r="E711" i="10"/>
  <c r="C711" i="10"/>
  <c r="E709" i="10"/>
  <c r="C709" i="10"/>
  <c r="E707" i="10"/>
  <c r="C707" i="10"/>
  <c r="E705" i="10"/>
  <c r="C705" i="10"/>
  <c r="E703" i="10"/>
  <c r="C703" i="10"/>
  <c r="E701" i="10"/>
  <c r="C701" i="10"/>
  <c r="E699" i="10"/>
  <c r="C699" i="10"/>
  <c r="E697" i="10"/>
  <c r="C697" i="10"/>
  <c r="E695" i="10"/>
  <c r="C695" i="10"/>
  <c r="E693" i="10"/>
  <c r="C693" i="10"/>
  <c r="E691" i="10"/>
  <c r="C691" i="10"/>
  <c r="E689" i="10"/>
  <c r="C689" i="10"/>
  <c r="E687" i="10"/>
  <c r="C687" i="10"/>
  <c r="E685" i="10"/>
  <c r="C685" i="10"/>
  <c r="E679" i="10"/>
  <c r="C679" i="10"/>
  <c r="E677" i="10"/>
  <c r="C677" i="10"/>
  <c r="E675" i="10"/>
  <c r="C675" i="10"/>
  <c r="E673" i="10"/>
  <c r="C673" i="10"/>
  <c r="E671" i="10"/>
  <c r="C671" i="10"/>
  <c r="E669" i="10"/>
  <c r="C669" i="10"/>
  <c r="E667" i="10"/>
  <c r="C667" i="10"/>
  <c r="E665" i="10"/>
  <c r="C665" i="10"/>
  <c r="E663" i="10"/>
  <c r="C663" i="10"/>
  <c r="E661" i="10"/>
  <c r="C661" i="10"/>
  <c r="E659" i="10"/>
  <c r="C659" i="10"/>
  <c r="E657" i="10"/>
  <c r="C657" i="10"/>
  <c r="E655" i="10"/>
  <c r="C655" i="10"/>
  <c r="E653" i="10"/>
  <c r="C653" i="10"/>
  <c r="E651" i="10"/>
  <c r="C651" i="10"/>
  <c r="E645" i="10"/>
  <c r="C645" i="10"/>
  <c r="E643" i="10"/>
  <c r="C643" i="10"/>
  <c r="E641" i="10"/>
  <c r="C641" i="10"/>
  <c r="E639" i="10"/>
  <c r="C639" i="10"/>
  <c r="E637" i="10"/>
  <c r="C637" i="10"/>
  <c r="E635" i="10"/>
  <c r="C635" i="10"/>
  <c r="E633" i="10"/>
  <c r="C633" i="10"/>
  <c r="E631" i="10"/>
  <c r="C631" i="10"/>
  <c r="E629" i="10"/>
  <c r="C629" i="10"/>
  <c r="E627" i="10"/>
  <c r="C627" i="10"/>
  <c r="E625" i="10"/>
  <c r="C625" i="10"/>
  <c r="E623" i="10"/>
  <c r="C623" i="10"/>
  <c r="E621" i="10"/>
  <c r="C621" i="10"/>
  <c r="E619" i="10"/>
  <c r="C619" i="10"/>
  <c r="E617" i="10"/>
  <c r="C617" i="10"/>
  <c r="E611" i="10"/>
  <c r="C611" i="10"/>
  <c r="E609" i="10"/>
  <c r="C609" i="10"/>
  <c r="E607" i="10"/>
  <c r="C607" i="10"/>
  <c r="E605" i="10"/>
  <c r="C605" i="10"/>
  <c r="E603" i="10"/>
  <c r="C603" i="10"/>
  <c r="E601" i="10"/>
  <c r="C601" i="10"/>
  <c r="E599" i="10"/>
  <c r="C599" i="10"/>
  <c r="E597" i="10"/>
  <c r="C597" i="10"/>
  <c r="E595" i="10"/>
  <c r="C595" i="10"/>
  <c r="E593" i="10"/>
  <c r="C593" i="10"/>
  <c r="E591" i="10"/>
  <c r="C591" i="10"/>
  <c r="E589" i="10"/>
  <c r="C589" i="10"/>
  <c r="E587" i="10"/>
  <c r="C587" i="10"/>
  <c r="E585" i="10"/>
  <c r="C585" i="10"/>
  <c r="E583" i="10"/>
  <c r="C583" i="10"/>
  <c r="E577" i="10"/>
  <c r="C577" i="10"/>
  <c r="E575" i="10"/>
  <c r="C575" i="10"/>
  <c r="E573" i="10"/>
  <c r="C573" i="10"/>
  <c r="E571" i="10"/>
  <c r="C571" i="10"/>
  <c r="E569" i="10"/>
  <c r="C569" i="10"/>
  <c r="E567" i="10"/>
  <c r="C567" i="10"/>
  <c r="E565" i="10"/>
  <c r="C565" i="10"/>
  <c r="E563" i="10"/>
  <c r="C563" i="10"/>
  <c r="E561" i="10"/>
  <c r="C561" i="10"/>
  <c r="E559" i="10"/>
  <c r="C559" i="10"/>
  <c r="E557" i="10"/>
  <c r="C557" i="10"/>
  <c r="E555" i="10"/>
  <c r="C555" i="10"/>
  <c r="E553" i="10"/>
  <c r="C553" i="10"/>
  <c r="E551" i="10"/>
  <c r="C551" i="10"/>
  <c r="E549" i="10"/>
  <c r="C549" i="10"/>
  <c r="E543" i="10"/>
  <c r="C543" i="10"/>
  <c r="E541" i="10"/>
  <c r="C541" i="10"/>
  <c r="E539" i="10"/>
  <c r="C539" i="10"/>
  <c r="E537" i="10"/>
  <c r="C537" i="10"/>
  <c r="E535" i="10"/>
  <c r="C535" i="10"/>
  <c r="E533" i="10"/>
  <c r="C533" i="10"/>
  <c r="E531" i="10"/>
  <c r="C531" i="10"/>
  <c r="E529" i="10"/>
  <c r="C529" i="10"/>
  <c r="E527" i="10"/>
  <c r="C527" i="10"/>
  <c r="E525" i="10"/>
  <c r="C525" i="10"/>
  <c r="E523" i="10"/>
  <c r="C523" i="10"/>
  <c r="E521" i="10"/>
  <c r="C521" i="10"/>
  <c r="E519" i="10"/>
  <c r="C519" i="10"/>
  <c r="E517" i="10"/>
  <c r="C517" i="10"/>
  <c r="E515" i="10"/>
  <c r="C515" i="10"/>
  <c r="E509" i="10"/>
  <c r="C509" i="10"/>
  <c r="E507" i="10"/>
  <c r="C507" i="10"/>
  <c r="E505" i="10"/>
  <c r="C505" i="10"/>
  <c r="E503" i="10"/>
  <c r="C503" i="10"/>
  <c r="E501" i="10"/>
  <c r="C501" i="10"/>
  <c r="E499" i="10"/>
  <c r="C499" i="10"/>
  <c r="E497" i="10"/>
  <c r="C497" i="10"/>
  <c r="E495" i="10"/>
  <c r="C495" i="10"/>
  <c r="E493" i="10"/>
  <c r="C493" i="10"/>
  <c r="E491" i="10"/>
  <c r="C491" i="10"/>
  <c r="E489" i="10"/>
  <c r="C489" i="10"/>
  <c r="E487" i="10"/>
  <c r="C487" i="10"/>
  <c r="E485" i="10"/>
  <c r="C485" i="10"/>
  <c r="E483" i="10"/>
  <c r="C483" i="10"/>
  <c r="E481" i="10"/>
  <c r="C481" i="10"/>
  <c r="E475" i="10"/>
  <c r="C475" i="10"/>
  <c r="E473" i="10"/>
  <c r="C473" i="10"/>
  <c r="E471" i="10"/>
  <c r="C471" i="10"/>
  <c r="E469" i="10"/>
  <c r="C469" i="10"/>
  <c r="E467" i="10"/>
  <c r="C467" i="10"/>
  <c r="E465" i="10"/>
  <c r="C465" i="10"/>
  <c r="E463" i="10"/>
  <c r="C463" i="10"/>
  <c r="E461" i="10"/>
  <c r="C461" i="10"/>
  <c r="E459" i="10"/>
  <c r="C459" i="10"/>
  <c r="E457" i="10"/>
  <c r="C457" i="10"/>
  <c r="E455" i="10"/>
  <c r="C455" i="10"/>
  <c r="E453" i="10"/>
  <c r="C453" i="10"/>
  <c r="E451" i="10"/>
  <c r="C451" i="10"/>
  <c r="E449" i="10"/>
  <c r="C449" i="10"/>
  <c r="E447" i="10"/>
  <c r="C447" i="10"/>
  <c r="E441" i="10"/>
  <c r="C441" i="10"/>
  <c r="E439" i="10"/>
  <c r="C439" i="10"/>
  <c r="E437" i="10"/>
  <c r="C437" i="10"/>
  <c r="E435" i="10"/>
  <c r="C435" i="10"/>
  <c r="E433" i="10"/>
  <c r="C433" i="10"/>
  <c r="E431" i="10"/>
  <c r="C431" i="10"/>
  <c r="E429" i="10"/>
  <c r="C429" i="10"/>
  <c r="E427" i="10"/>
  <c r="C427" i="10"/>
  <c r="E425" i="10"/>
  <c r="C425" i="10"/>
  <c r="E423" i="10"/>
  <c r="C423" i="10"/>
  <c r="E421" i="10"/>
  <c r="C421" i="10"/>
  <c r="E419" i="10"/>
  <c r="C419" i="10"/>
  <c r="E417" i="10"/>
  <c r="C417" i="10"/>
  <c r="E415" i="10"/>
  <c r="C415" i="10"/>
  <c r="E413" i="10"/>
  <c r="C413" i="10"/>
  <c r="E407" i="10"/>
  <c r="C407" i="10"/>
  <c r="E405" i="10"/>
  <c r="C405" i="10"/>
  <c r="E403" i="10"/>
  <c r="C403" i="10"/>
  <c r="E401" i="10"/>
  <c r="C401" i="10"/>
  <c r="E399" i="10"/>
  <c r="C399" i="10"/>
  <c r="E397" i="10"/>
  <c r="C397" i="10"/>
  <c r="E395" i="10"/>
  <c r="C395" i="10"/>
  <c r="E393" i="10"/>
  <c r="C393" i="10"/>
  <c r="E391" i="10"/>
  <c r="C391" i="10"/>
  <c r="E389" i="10"/>
  <c r="C389" i="10"/>
  <c r="E387" i="10"/>
  <c r="C387" i="10"/>
  <c r="E385" i="10"/>
  <c r="C385" i="10"/>
  <c r="E383" i="10"/>
  <c r="C383" i="10"/>
  <c r="E381" i="10"/>
  <c r="C381" i="10"/>
  <c r="E379" i="10"/>
  <c r="C379" i="10"/>
  <c r="C373" i="10"/>
  <c r="E371" i="10"/>
  <c r="C371" i="10"/>
  <c r="E369" i="10"/>
  <c r="C369" i="10"/>
  <c r="E367" i="10"/>
  <c r="C367" i="10"/>
  <c r="E365" i="10"/>
  <c r="C365" i="10"/>
  <c r="E363" i="10"/>
  <c r="C363" i="10"/>
  <c r="E361" i="10"/>
  <c r="C361" i="10"/>
  <c r="E359" i="10"/>
  <c r="C359" i="10"/>
  <c r="E357" i="10"/>
  <c r="C357" i="10"/>
  <c r="E355" i="10"/>
  <c r="C355" i="10"/>
  <c r="E353" i="10"/>
  <c r="C353" i="10"/>
  <c r="E351" i="10"/>
  <c r="C351" i="10"/>
  <c r="E349" i="10"/>
  <c r="C349" i="10"/>
  <c r="E347" i="10"/>
  <c r="C347" i="10"/>
  <c r="E345" i="10"/>
  <c r="C345" i="10"/>
  <c r="E339" i="10"/>
  <c r="C339" i="10"/>
  <c r="E337" i="10"/>
  <c r="C337" i="10"/>
  <c r="E335" i="10"/>
  <c r="C335" i="10"/>
  <c r="E333" i="10"/>
  <c r="C333" i="10"/>
  <c r="E331" i="10"/>
  <c r="C331" i="10"/>
  <c r="E329" i="10"/>
  <c r="C329" i="10"/>
  <c r="E327" i="10"/>
  <c r="C327" i="10"/>
  <c r="E325" i="10"/>
  <c r="C325" i="10"/>
  <c r="E323" i="10"/>
  <c r="C323" i="10"/>
  <c r="E321" i="10"/>
  <c r="C321" i="10"/>
  <c r="E319" i="10"/>
  <c r="C319" i="10"/>
  <c r="E317" i="10"/>
  <c r="C317" i="10"/>
  <c r="E315" i="10"/>
  <c r="C315" i="10"/>
  <c r="E313" i="10"/>
  <c r="C313" i="10"/>
  <c r="E311" i="10"/>
  <c r="C311" i="10"/>
  <c r="E305" i="10"/>
  <c r="E303" i="10"/>
  <c r="C303" i="10"/>
  <c r="E301" i="10"/>
  <c r="C301" i="10"/>
  <c r="E299" i="10"/>
  <c r="C299" i="10"/>
  <c r="E297" i="10"/>
  <c r="C297" i="10"/>
  <c r="E295" i="10"/>
  <c r="C295" i="10"/>
  <c r="E293" i="10"/>
  <c r="C293" i="10"/>
  <c r="E291" i="10"/>
  <c r="C291" i="10"/>
  <c r="E289" i="10"/>
  <c r="C289" i="10"/>
  <c r="E287" i="10"/>
  <c r="C287" i="10"/>
  <c r="E285" i="10"/>
  <c r="C285" i="10"/>
  <c r="E283" i="10"/>
  <c r="C283" i="10"/>
  <c r="E281" i="10"/>
  <c r="C281" i="10"/>
  <c r="E279" i="10"/>
  <c r="C279" i="10"/>
  <c r="E277" i="10"/>
  <c r="C277" i="10"/>
  <c r="E271" i="10"/>
  <c r="C271" i="10"/>
  <c r="E269" i="10"/>
  <c r="C269" i="10"/>
  <c r="E267" i="10"/>
  <c r="C267" i="10"/>
  <c r="E265" i="10"/>
  <c r="C265" i="10"/>
  <c r="E263" i="10"/>
  <c r="C263" i="10"/>
  <c r="E261" i="10"/>
  <c r="C261" i="10"/>
  <c r="E259" i="10"/>
  <c r="C259" i="10"/>
  <c r="E257" i="10"/>
  <c r="C257" i="10"/>
  <c r="E255" i="10"/>
  <c r="C255" i="10"/>
  <c r="E253" i="10"/>
  <c r="C253" i="10"/>
  <c r="E251" i="10"/>
  <c r="C251" i="10"/>
  <c r="E249" i="10"/>
  <c r="C249" i="10"/>
  <c r="E247" i="10"/>
  <c r="C247" i="10"/>
  <c r="E245" i="10"/>
  <c r="C245" i="10"/>
  <c r="E243" i="10"/>
  <c r="C243" i="10"/>
  <c r="E237" i="10"/>
  <c r="C237" i="10"/>
  <c r="E235" i="10"/>
  <c r="C235" i="10"/>
  <c r="E233" i="10"/>
  <c r="C233" i="10"/>
  <c r="E231" i="10"/>
  <c r="C231" i="10"/>
  <c r="E229" i="10"/>
  <c r="C229" i="10"/>
  <c r="E227" i="10"/>
  <c r="C227" i="10"/>
  <c r="E225" i="10"/>
  <c r="C225" i="10"/>
  <c r="E223" i="10"/>
  <c r="C223" i="10"/>
  <c r="E221" i="10"/>
  <c r="C221" i="10"/>
  <c r="E219" i="10"/>
  <c r="C219" i="10"/>
  <c r="E217" i="10"/>
  <c r="C217" i="10"/>
  <c r="E215" i="10"/>
  <c r="C215" i="10"/>
  <c r="E213" i="10"/>
  <c r="C213" i="10"/>
  <c r="E211" i="10"/>
  <c r="C211" i="10"/>
  <c r="E209" i="10"/>
  <c r="C209" i="10"/>
  <c r="E203" i="10"/>
  <c r="C203" i="10"/>
  <c r="E201" i="10"/>
  <c r="C201" i="10"/>
  <c r="E199" i="10"/>
  <c r="C199" i="10"/>
  <c r="E197" i="10"/>
  <c r="C197" i="10"/>
  <c r="E195" i="10"/>
  <c r="C195" i="10"/>
  <c r="E193" i="10"/>
  <c r="C193" i="10"/>
  <c r="E191" i="10"/>
  <c r="C191" i="10"/>
  <c r="E189" i="10"/>
  <c r="C189" i="10"/>
  <c r="E187" i="10"/>
  <c r="C187" i="10"/>
  <c r="E185" i="10"/>
  <c r="C185" i="10"/>
  <c r="E183" i="10"/>
  <c r="C183" i="10"/>
  <c r="E181" i="10"/>
  <c r="C181" i="10"/>
  <c r="E179" i="10"/>
  <c r="C179" i="10"/>
  <c r="E177" i="10"/>
  <c r="C177" i="10"/>
  <c r="E175" i="10"/>
  <c r="C175" i="10"/>
  <c r="E169" i="10"/>
  <c r="C169" i="10"/>
  <c r="E167" i="10"/>
  <c r="C167" i="10"/>
  <c r="E165" i="10"/>
  <c r="C165" i="10"/>
  <c r="E163" i="10"/>
  <c r="C163" i="10"/>
  <c r="E161" i="10"/>
  <c r="C161" i="10"/>
  <c r="E159" i="10"/>
  <c r="C159" i="10"/>
  <c r="E157" i="10"/>
  <c r="C157" i="10"/>
  <c r="E155" i="10"/>
  <c r="C155" i="10"/>
  <c r="E153" i="10"/>
  <c r="C153" i="10"/>
  <c r="E151" i="10"/>
  <c r="C151" i="10"/>
  <c r="E149" i="10"/>
  <c r="C149" i="10"/>
  <c r="E147" i="10"/>
  <c r="C147" i="10"/>
  <c r="E145" i="10"/>
  <c r="C145" i="10"/>
  <c r="E143" i="10"/>
  <c r="C143" i="10"/>
  <c r="E141" i="10"/>
  <c r="C141" i="10"/>
  <c r="E135" i="10"/>
  <c r="C135" i="10"/>
  <c r="E133" i="10"/>
  <c r="C133" i="10"/>
  <c r="E131" i="10"/>
  <c r="C131" i="10"/>
  <c r="E129" i="10"/>
  <c r="C129" i="10"/>
  <c r="E127" i="10"/>
  <c r="C127" i="10"/>
  <c r="E125" i="10"/>
  <c r="C125" i="10"/>
  <c r="E123" i="10"/>
  <c r="C123" i="10"/>
  <c r="E121" i="10"/>
  <c r="C121" i="10"/>
  <c r="E119" i="10"/>
  <c r="C119" i="10"/>
  <c r="E117" i="10"/>
  <c r="C117" i="10"/>
  <c r="E115" i="10"/>
  <c r="C115" i="10"/>
  <c r="E113" i="10"/>
  <c r="C113" i="10"/>
  <c r="E111" i="10"/>
  <c r="C111" i="10"/>
  <c r="E109" i="10"/>
  <c r="C109" i="10"/>
  <c r="E107" i="10"/>
  <c r="C107" i="10"/>
  <c r="E101" i="10"/>
  <c r="C101" i="10"/>
  <c r="E99" i="10"/>
  <c r="C99" i="10"/>
  <c r="E97" i="10"/>
  <c r="C97" i="10"/>
  <c r="E95" i="10"/>
  <c r="C95" i="10"/>
  <c r="E93" i="10"/>
  <c r="C93" i="10"/>
  <c r="E91" i="10"/>
  <c r="C91" i="10"/>
  <c r="E89" i="10"/>
  <c r="C89" i="10"/>
  <c r="E87" i="10"/>
  <c r="C87" i="10"/>
  <c r="E85" i="10"/>
  <c r="C85" i="10"/>
  <c r="E83" i="10"/>
  <c r="C83" i="10"/>
  <c r="E81" i="10"/>
  <c r="C81" i="10"/>
  <c r="E79" i="10"/>
  <c r="C79" i="10"/>
  <c r="E77" i="10"/>
  <c r="C77" i="10"/>
  <c r="E75" i="10"/>
  <c r="C75" i="10"/>
  <c r="E73" i="10"/>
  <c r="C73" i="10"/>
  <c r="E33" i="10"/>
  <c r="C33" i="10"/>
  <c r="C31" i="10"/>
  <c r="E31" i="10"/>
  <c r="E29" i="10"/>
  <c r="C29" i="10"/>
  <c r="C27" i="10"/>
  <c r="E27" i="10"/>
  <c r="E25" i="10"/>
  <c r="C25" i="10"/>
  <c r="C23" i="10"/>
  <c r="E23" i="10"/>
  <c r="E21" i="10"/>
  <c r="C21" i="10"/>
  <c r="C19" i="10"/>
  <c r="E19" i="10"/>
  <c r="E17" i="10"/>
  <c r="C17" i="10"/>
  <c r="C15" i="10"/>
  <c r="E15" i="10"/>
  <c r="E13" i="10"/>
  <c r="C13" i="10"/>
  <c r="C11" i="10"/>
  <c r="C9" i="10"/>
  <c r="C7" i="10"/>
  <c r="C5" i="10"/>
  <c r="E5" i="10"/>
  <c r="E7" i="10"/>
  <c r="E9" i="10"/>
  <c r="E11" i="10"/>
  <c r="F34" i="10" l="1"/>
  <c r="M32" i="10" l="1"/>
  <c r="L32" i="10"/>
  <c r="M31" i="10"/>
  <c r="L31" i="10"/>
  <c r="M30" i="10"/>
  <c r="L30" i="10"/>
  <c r="M29" i="10"/>
  <c r="L29" i="10"/>
  <c r="M28" i="10"/>
  <c r="L28" i="10"/>
  <c r="M27" i="10"/>
  <c r="L27" i="10"/>
  <c r="M26" i="10"/>
  <c r="L26" i="10"/>
  <c r="M25" i="10"/>
  <c r="L25" i="10"/>
  <c r="M24" i="10"/>
  <c r="L24" i="10"/>
  <c r="M23" i="10"/>
  <c r="L23" i="10"/>
  <c r="M22" i="10"/>
  <c r="L22" i="10"/>
  <c r="M21" i="10"/>
  <c r="L21" i="10"/>
  <c r="M20" i="10"/>
  <c r="L20" i="10"/>
  <c r="M19" i="10"/>
  <c r="L19" i="10"/>
  <c r="M18" i="10"/>
  <c r="L3" i="10"/>
  <c r="L4" i="10"/>
  <c r="L5" i="10"/>
  <c r="L6" i="10"/>
  <c r="L7" i="10"/>
  <c r="L8" i="10"/>
  <c r="L9" i="10"/>
  <c r="L10" i="10"/>
  <c r="L11" i="10"/>
  <c r="L12" i="10"/>
  <c r="L13" i="10"/>
  <c r="L14" i="10"/>
  <c r="L15" i="10"/>
  <c r="L16" i="10"/>
  <c r="L18" i="10"/>
  <c r="M17" i="10"/>
  <c r="L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M4" i="10"/>
  <c r="M3" i="10"/>
  <c r="M2" i="10"/>
  <c r="L2" i="10"/>
  <c r="N32" i="10" l="1"/>
  <c r="F1054" i="10"/>
  <c r="F1020" i="10"/>
  <c r="F986" i="10"/>
  <c r="F952" i="10"/>
  <c r="F918" i="10"/>
  <c r="F884" i="10"/>
  <c r="F850" i="10"/>
  <c r="F816" i="10"/>
  <c r="F782" i="10"/>
  <c r="F748" i="10"/>
  <c r="F714" i="10"/>
  <c r="F680" i="10"/>
  <c r="F646" i="10"/>
  <c r="F612" i="10"/>
  <c r="F578" i="10"/>
  <c r="F544" i="10"/>
  <c r="F510" i="10"/>
  <c r="F476" i="10"/>
  <c r="F442" i="10"/>
  <c r="F408" i="10"/>
  <c r="F374" i="10"/>
  <c r="F340" i="10"/>
  <c r="F306" i="10"/>
  <c r="F272" i="10"/>
  <c r="F238" i="10"/>
  <c r="F204" i="10"/>
  <c r="F170" i="10"/>
  <c r="F136" i="10"/>
  <c r="F102" i="10"/>
  <c r="F68" i="10"/>
  <c r="O3" i="10" s="1"/>
  <c r="O2" i="10"/>
  <c r="O29" i="10" l="1"/>
  <c r="O28" i="10"/>
  <c r="O25" i="10"/>
  <c r="O26" i="10"/>
  <c r="O24" i="10"/>
  <c r="O27" i="10"/>
  <c r="O21" i="10"/>
  <c r="O18" i="10"/>
  <c r="O22" i="10"/>
  <c r="O19" i="10"/>
  <c r="O23" i="10"/>
  <c r="O20" i="10"/>
  <c r="O8" i="10"/>
  <c r="O12" i="10"/>
  <c r="O9" i="10"/>
  <c r="O17" i="10"/>
  <c r="O10" i="10"/>
  <c r="O14" i="10"/>
  <c r="O16" i="10"/>
  <c r="O13" i="10"/>
  <c r="O11" i="10"/>
  <c r="O15" i="10"/>
  <c r="O5" i="10"/>
  <c r="O6" i="10"/>
  <c r="O7" i="10"/>
  <c r="O4" i="10"/>
  <c r="S28" i="10" l="1"/>
  <c r="S33" i="10" s="1"/>
  <c r="A1" i="10" l="1"/>
  <c r="J2" i="10" l="1"/>
  <c r="H1054" i="10"/>
  <c r="H1020" i="10"/>
  <c r="H986" i="10"/>
  <c r="H952" i="10"/>
  <c r="P29" i="10" s="1"/>
  <c r="N2" i="10" l="1"/>
  <c r="H34" i="10"/>
  <c r="P2" i="10" s="1"/>
  <c r="A35" i="10"/>
  <c r="H68" i="10"/>
  <c r="P3" i="10" s="1"/>
  <c r="A69" i="10"/>
  <c r="H102" i="10"/>
  <c r="P4" i="10" s="1"/>
  <c r="A103" i="10"/>
  <c r="H136" i="10"/>
  <c r="P5" i="10" s="1"/>
  <c r="A137" i="10"/>
  <c r="H170" i="10"/>
  <c r="P6" i="10" s="1"/>
  <c r="A171" i="10"/>
  <c r="H204" i="10"/>
  <c r="P7" i="10" s="1"/>
  <c r="A205" i="10"/>
  <c r="H238" i="10"/>
  <c r="P8" i="10" s="1"/>
  <c r="A239" i="10"/>
  <c r="J9" i="10" s="1"/>
  <c r="H272" i="10"/>
  <c r="P9" i="10" s="1"/>
  <c r="A273" i="10"/>
  <c r="H306" i="10"/>
  <c r="P10" i="10" s="1"/>
  <c r="A307" i="10"/>
  <c r="J11" i="10" s="1"/>
  <c r="H340" i="10"/>
  <c r="P11" i="10" s="1"/>
  <c r="A341" i="10"/>
  <c r="J12" i="10" s="1"/>
  <c r="H374" i="10"/>
  <c r="P12" i="10" s="1"/>
  <c r="A375" i="10"/>
  <c r="J13" i="10" s="1"/>
  <c r="H408" i="10"/>
  <c r="P13" i="10" s="1"/>
  <c r="A409" i="10"/>
  <c r="J14" i="10" s="1"/>
  <c r="H442" i="10"/>
  <c r="P14" i="10" s="1"/>
  <c r="A443" i="10"/>
  <c r="J15" i="10" s="1"/>
  <c r="H476" i="10"/>
  <c r="P15" i="10" s="1"/>
  <c r="A477" i="10"/>
  <c r="J16" i="10" s="1"/>
  <c r="H510" i="10"/>
  <c r="P16" i="10" s="1"/>
  <c r="A511" i="10"/>
  <c r="J17" i="10" s="1"/>
  <c r="H544" i="10"/>
  <c r="P17" i="10" s="1"/>
  <c r="A545" i="10"/>
  <c r="J18" i="10" s="1"/>
  <c r="H578" i="10"/>
  <c r="P18" i="10" s="1"/>
  <c r="A579" i="10"/>
  <c r="J19" i="10" s="1"/>
  <c r="H612" i="10"/>
  <c r="P19" i="10" s="1"/>
  <c r="A613" i="10"/>
  <c r="J20" i="10" s="1"/>
  <c r="H646" i="10"/>
  <c r="P20" i="10" s="1"/>
  <c r="A647" i="10"/>
  <c r="J21" i="10" s="1"/>
  <c r="H680" i="10"/>
  <c r="P21" i="10" s="1"/>
  <c r="A681" i="10"/>
  <c r="J22" i="10" s="1"/>
  <c r="H714" i="10"/>
  <c r="P22" i="10" s="1"/>
  <c r="A715" i="10"/>
  <c r="J23" i="10" s="1"/>
  <c r="H748" i="10"/>
  <c r="P23" i="10" s="1"/>
  <c r="A749" i="10"/>
  <c r="J24" i="10" s="1"/>
  <c r="H782" i="10"/>
  <c r="P24" i="10" s="1"/>
  <c r="A783" i="10"/>
  <c r="J25" i="10" s="1"/>
  <c r="H816" i="10"/>
  <c r="P25" i="10" s="1"/>
  <c r="A817" i="10"/>
  <c r="J26" i="10" s="1"/>
  <c r="H850" i="10"/>
  <c r="P26" i="10" s="1"/>
  <c r="A851" i="10"/>
  <c r="J27" i="10" s="1"/>
  <c r="H884" i="10"/>
  <c r="P27" i="10" s="1"/>
  <c r="A885" i="10"/>
  <c r="J28" i="10" s="1"/>
  <c r="H918" i="10"/>
  <c r="P28" i="10" s="1"/>
  <c r="A919" i="10"/>
  <c r="J29" i="10" s="1"/>
  <c r="A953" i="10"/>
  <c r="A987" i="10"/>
  <c r="A1021" i="10"/>
  <c r="J32" i="10" l="1"/>
  <c r="O32" i="10"/>
  <c r="P32" i="10"/>
  <c r="J31" i="10"/>
  <c r="O31" i="10"/>
  <c r="P31" i="10"/>
  <c r="J30" i="10"/>
  <c r="P30" i="10"/>
  <c r="O30" i="10"/>
  <c r="J5" i="10"/>
  <c r="J10" i="10"/>
  <c r="J6" i="10"/>
  <c r="J4" i="10"/>
  <c r="J7" i="10"/>
  <c r="J3" i="10"/>
  <c r="J8" i="10"/>
  <c r="N8" i="10"/>
  <c r="N4" i="10"/>
  <c r="O33" i="10" l="1"/>
  <c r="S17" i="10" s="1"/>
  <c r="S18" i="10" s="1"/>
  <c r="S31" i="10" s="1"/>
  <c r="P33" i="10"/>
  <c r="N20" i="10"/>
  <c r="N24" i="10"/>
  <c r="N12" i="10"/>
  <c r="N16" i="10"/>
  <c r="N28" i="10"/>
  <c r="N10" i="10"/>
  <c r="N18" i="10"/>
  <c r="N14" i="10"/>
  <c r="N22" i="10"/>
  <c r="N26" i="10"/>
  <c r="N31" i="10"/>
  <c r="N3" i="10"/>
  <c r="N7" i="10"/>
  <c r="N11" i="10"/>
  <c r="N15" i="10"/>
  <c r="N19" i="10"/>
  <c r="N23" i="10"/>
  <c r="N27" i="10"/>
  <c r="N30" i="10"/>
  <c r="N6" i="10"/>
  <c r="N5" i="10"/>
  <c r="N9" i="10"/>
  <c r="N13" i="10"/>
  <c r="N17" i="10"/>
  <c r="N21" i="10"/>
  <c r="N25" i="10"/>
  <c r="N29" i="10"/>
  <c r="O39" i="10" l="1"/>
  <c r="S20" i="10"/>
  <c r="O40" i="10"/>
  <c r="R22" i="10" l="1"/>
  <c r="S22" i="10"/>
  <c r="S32" i="10" s="1"/>
  <c r="S34" i="10" l="1"/>
  <c r="O37" i="10" s="1"/>
  <c r="O38" i="10"/>
</calcChain>
</file>

<file path=xl/sharedStrings.xml><?xml version="1.0" encoding="utf-8"?>
<sst xmlns="http://schemas.openxmlformats.org/spreadsheetml/2006/main" count="2145" uniqueCount="431">
  <si>
    <t>УЛ. ВОСТАНИЯ 8</t>
  </si>
  <si>
    <t>УЛ. ГОНЧАРНАЯ 15</t>
  </si>
  <si>
    <t>СИТИ БАНК</t>
  </si>
  <si>
    <t>УЛ. ИТАЛЬЯНСКАЯ 5</t>
  </si>
  <si>
    <t>МР. ХОНГ</t>
  </si>
  <si>
    <t>МАСТЕРСКАЯ ПЕЧАТИ</t>
  </si>
  <si>
    <t>АССТРА</t>
  </si>
  <si>
    <t>УЛ. ДОСТОЕВСКОГО 44</t>
  </si>
  <si>
    <t>МР. КИМ</t>
  </si>
  <si>
    <t>ГЛОВИС</t>
  </si>
  <si>
    <t>УЛ. САВУШКИНА 126</t>
  </si>
  <si>
    <t>МР. ПАК</t>
  </si>
  <si>
    <t>ЛЕРУА МЕРЛЕН</t>
  </si>
  <si>
    <t>УРИ БАНК</t>
  </si>
  <si>
    <t>ФЕСКО</t>
  </si>
  <si>
    <t>УЛ. НЕКРАСОВА 32</t>
  </si>
  <si>
    <t>ТОЖКОВСКАЯ УЛ. 5</t>
  </si>
  <si>
    <t>ЮН</t>
  </si>
  <si>
    <t>УЛ. КУРЛЯНДСКАЯ 1</t>
  </si>
  <si>
    <t>ДЕГТЯРНЫЙ ПЕР. 11</t>
  </si>
  <si>
    <t>УЛ. КУЙБЫШЕВА 7</t>
  </si>
  <si>
    <t>ДОЛГООЗЕРНАЯ УЛ. 12</t>
  </si>
  <si>
    <t>УЛ. САВУШКИНА 9</t>
  </si>
  <si>
    <t>УЛ. МАРШ. ГОВОРОВА 52</t>
  </si>
  <si>
    <t>start work</t>
  </si>
  <si>
    <t>finish work</t>
  </si>
  <si>
    <t>distance km.</t>
  </si>
  <si>
    <t>TOTAL</t>
  </si>
  <si>
    <t>У     Т     Р     О</t>
  </si>
  <si>
    <t>В     Е     Ч     Е     Р</t>
  </si>
  <si>
    <t>OVER TIME</t>
  </si>
  <si>
    <t>ПРИМОРСКИЙ ПР. 137/1</t>
  </si>
  <si>
    <t>К  И  Л  О  М  Е  Т  Р  А  Ж</t>
  </si>
  <si>
    <t>СИНОПСКАЯ НАБ. 30</t>
  </si>
  <si>
    <t>WHO WROTE</t>
  </si>
  <si>
    <t>WHAT TO DO</t>
  </si>
  <si>
    <t>TIME</t>
  </si>
  <si>
    <t>WHERE</t>
  </si>
  <si>
    <t>ADDRESS</t>
  </si>
  <si>
    <t>FROM WHERE</t>
  </si>
  <si>
    <t>KM</t>
  </si>
  <si>
    <t>БЮРО ПЕРЕВ. АВРОРА</t>
  </si>
  <si>
    <t>Olga Puzanova</t>
  </si>
  <si>
    <t>START</t>
  </si>
  <si>
    <t>HYUNDAI STEEL RUS</t>
  </si>
  <si>
    <t>FINISH</t>
  </si>
  <si>
    <t>SAVUSHKINA ST. 128</t>
  </si>
  <si>
    <t>OVERTIME</t>
  </si>
  <si>
    <t>POST OFFICE</t>
  </si>
  <si>
    <t>LEVASHOVSKOE SH. 20</t>
  </si>
  <si>
    <t>OBVODNY CHAN. EMB. 60</t>
  </si>
  <si>
    <t>Mark Tolstykh</t>
  </si>
  <si>
    <t>CAR WASH</t>
  </si>
  <si>
    <t>KOREANA REST.</t>
  </si>
  <si>
    <t>DOLGOOZERNAYA ST. 12</t>
  </si>
  <si>
    <t>KOMENDANTSKIY PR. 11</t>
  </si>
  <si>
    <t>MR. PARK</t>
  </si>
  <si>
    <t>MALAYA POSADSKAYA ST. 7</t>
  </si>
  <si>
    <t>MR. HONG</t>
  </si>
  <si>
    <t>PIONERSKAYA ST. 16</t>
  </si>
  <si>
    <t>MR. KIM</t>
  </si>
  <si>
    <t>PRIMORSKIY PR. 137/1</t>
  </si>
  <si>
    <t>KONNOLAKHTINSKY PR.4</t>
  </si>
  <si>
    <t>MENGA REST.</t>
  </si>
  <si>
    <t>ARISU REST.</t>
  </si>
  <si>
    <t>CHINESE REST.</t>
  </si>
  <si>
    <t>YAHTENNAYA ST. 3</t>
  </si>
  <si>
    <t>SHKOLNAYA ST. 108</t>
  </si>
  <si>
    <t>COMMERZBANK</t>
  </si>
  <si>
    <t>3 LINIYA V.O. 62</t>
  </si>
  <si>
    <t>DEGTARNYY PER. 11</t>
  </si>
  <si>
    <t>VTB - INSURANCE</t>
  </si>
  <si>
    <t>GLOVIS</t>
  </si>
  <si>
    <t>SAVUSHKINA ST. 126</t>
  </si>
  <si>
    <t>CITI BANK</t>
  </si>
  <si>
    <t>ITALYANSKAYA ST. 5</t>
  </si>
  <si>
    <t>↓  ПАК - З  ↓</t>
  </si>
  <si>
    <t>↓  ХОНГ - З  ↓</t>
  </si>
  <si>
    <t>↓  ПАК - ХОНГ - З  ↓</t>
  </si>
  <si>
    <t>↓  КИМ - ПАК - З  ↓</t>
  </si>
  <si>
    <t>↓  КИМ - ПАК - ХОНГ - З  ↓</t>
  </si>
  <si>
    <t>WOORI BANK</t>
  </si>
  <si>
    <t>Ksenia Gapova</t>
  </si>
  <si>
    <t>Anna Vasileva</t>
  </si>
  <si>
    <t>Wash the car</t>
  </si>
  <si>
    <t>ASSTRA</t>
  </si>
  <si>
    <t>Take business cards</t>
  </si>
  <si>
    <t>УЛ. МАРАТА 69</t>
  </si>
  <si>
    <t>Andrey Sulabe</t>
  </si>
  <si>
    <t>Igor Panasuk</t>
  </si>
  <si>
    <t>FESCO</t>
  </si>
  <si>
    <t>actual working hours</t>
  </si>
  <si>
    <t>To drive an employee</t>
  </si>
  <si>
    <t>Deliver samples</t>
  </si>
  <si>
    <t>440 ₽/h</t>
  </si>
  <si>
    <t>FUEL</t>
  </si>
  <si>
    <t>DISTANCE</t>
  </si>
  <si>
    <t>RING ROAD</t>
  </si>
  <si>
    <t>R.R. CHECKS</t>
  </si>
  <si>
    <t>PARKING CHECKS</t>
  </si>
  <si>
    <t>MAIL CHECKS</t>
  </si>
  <si>
    <t>RING ROAD + CHECKS</t>
  </si>
  <si>
    <t>BASE</t>
  </si>
  <si>
    <t>IN TOTAL</t>
  </si>
  <si>
    <t>over time</t>
  </si>
  <si>
    <t>Sergey Puchkov</t>
  </si>
  <si>
    <t>Nikolay Kislitsyn</t>
  </si>
  <si>
    <t>Mikhail Stepanov</t>
  </si>
  <si>
    <t>Natalia Serikova</t>
  </si>
  <si>
    <t>Send mail</t>
  </si>
  <si>
    <t>Pick up from tests</t>
  </si>
  <si>
    <t>Забрать документы</t>
  </si>
  <si>
    <t>Отвезти документы</t>
  </si>
  <si>
    <t>Купить товары</t>
  </si>
  <si>
    <t>Забрать визитки</t>
  </si>
  <si>
    <t>Отвезти сотрудника</t>
  </si>
  <si>
    <t>Отвезти образцы</t>
  </si>
  <si>
    <t>Отвезти и забрать доки</t>
  </si>
  <si>
    <t>Отправить почту</t>
  </si>
  <si>
    <t>Забрать почту</t>
  </si>
  <si>
    <t>Помыть машину</t>
  </si>
  <si>
    <t>Забрать с тестирования</t>
  </si>
  <si>
    <t>Olga Gorbunova</t>
  </si>
  <si>
    <t>↓  ПАК - КИМ - З  ↓</t>
  </si>
  <si>
    <t>↓  ПАК - ХОНГ - КИМ - З  ↓</t>
  </si>
  <si>
    <t>КЕМСКАЯ УЛ. 1</t>
  </si>
  <si>
    <t>МАЛАЯ ПОСАДСКАЯ УЛ. 7</t>
  </si>
  <si>
    <t>УЛ. ПИОНЕРСКАЯ 16</t>
  </si>
  <si>
    <t>Праздничные дни 2019</t>
  </si>
  <si>
    <t>Подписать документы</t>
  </si>
  <si>
    <t>Получить товар</t>
  </si>
  <si>
    <t>Receive goods</t>
  </si>
  <si>
    <t>Start</t>
  </si>
  <si>
    <t>Finish</t>
  </si>
  <si>
    <t>Настраиваемые параметры</t>
  </si>
  <si>
    <t>Yulia Dudareva</t>
  </si>
  <si>
    <t>Irina Ivanova</t>
  </si>
  <si>
    <t>Deliver documents</t>
  </si>
  <si>
    <t>−</t>
  </si>
  <si>
    <t>Buy goods</t>
  </si>
  <si>
    <t>Mr. Park</t>
  </si>
  <si>
    <t>Mr. Kim</t>
  </si>
  <si>
    <t>Mr. Hong</t>
  </si>
  <si>
    <t>Anastasia Mazurenko</t>
  </si>
  <si>
    <t>Deliver to the tests</t>
  </si>
  <si>
    <t>Отвезти на тестирование</t>
  </si>
  <si>
    <t>22 ЛИН. В.О. 3/1</t>
  </si>
  <si>
    <t>Отвезти кое-что в ремонт</t>
  </si>
  <si>
    <t>Sign documents</t>
  </si>
  <si>
    <t>AIRPORT</t>
  </si>
  <si>
    <t>PULKOVO</t>
  </si>
  <si>
    <t>УЛ. КАНТЕМИРОВСКАЯ 37</t>
  </si>
  <si>
    <t>КОММЕРЦБАНК</t>
  </si>
  <si>
    <t>BIS</t>
  </si>
  <si>
    <t>БИС</t>
  </si>
  <si>
    <t>3 ЛИНИЯ ВО 62</t>
  </si>
  <si>
    <t>ПР. СТАЧЕК 48/2</t>
  </si>
  <si>
    <t>SENSPA</t>
  </si>
  <si>
    <t>УЛ. СТУДЕНЧЕСКАЯ 10</t>
  </si>
  <si>
    <t>СЕНСПА</t>
  </si>
  <si>
    <t>LEROY MERLIN</t>
  </si>
  <si>
    <t>ПР. ИСПЫТАТЕЛЕЙ 5/2</t>
  </si>
  <si>
    <t>УЛ. ЗАСТАВСКАЯ 33</t>
  </si>
  <si>
    <t>УЛ. УТОЧКИНА 6</t>
  </si>
  <si>
    <t>БИДЕ СЕРВИС</t>
  </si>
  <si>
    <t>МР. ЮН</t>
  </si>
  <si>
    <t>MR. YOON</t>
  </si>
  <si>
    <t>ПРИМОРСКИЙ ПР. 52/1</t>
  </si>
  <si>
    <t>10 ЛИНИЯ В.О. 51</t>
  </si>
  <si>
    <t>КОМЕНДАНСКИЙ ПР. 34/1</t>
  </si>
  <si>
    <t>УЛ. БОРИСОВА 6</t>
  </si>
  <si>
    <t>ШКОЛА БИС</t>
  </si>
  <si>
    <t>КОММЕРЦ БАНК</t>
  </si>
  <si>
    <t>УЛ. КАНТЕМИРОВСКАЯ 4А</t>
  </si>
  <si>
    <t>УЛ. БАССЕИНАЯ 38Б</t>
  </si>
  <si>
    <t>УЛ. ФУЧИКА 8/1</t>
  </si>
  <si>
    <t>САНРИКС</t>
  </si>
  <si>
    <t>SANRIKS</t>
  </si>
  <si>
    <t>ЛЕНИНСКИЙ ПР. 95/1</t>
  </si>
  <si>
    <t>ПР. НАР. ОПОЛЧЕНИЯ 2/2Б</t>
  </si>
  <si>
    <t>Ivan Rybnikov</t>
  </si>
  <si>
    <t>CITI</t>
  </si>
  <si>
    <t>СИТИ</t>
  </si>
  <si>
    <t>КОММЕРЦ</t>
  </si>
  <si>
    <t>Receive mail</t>
  </si>
  <si>
    <t>Receive documents</t>
  </si>
  <si>
    <t>УЛ. БОЛ. ПУШКАРСКАЯ 20</t>
  </si>
  <si>
    <t>УЛ. МАРШ. ГОВОРОВА 29</t>
  </si>
  <si>
    <t>УЛ. БУХАРЕСТКАЯ 24</t>
  </si>
  <si>
    <t>ЗЕЛЕНАЯ ШИНА</t>
  </si>
  <si>
    <t>MTT</t>
  </si>
  <si>
    <t>КУРСКАЯ УЛ. 5</t>
  </si>
  <si>
    <t>ПР. ЭНГЕЛЬСА 27Т</t>
  </si>
  <si>
    <t>Get the money</t>
  </si>
  <si>
    <t>Nayoung</t>
  </si>
  <si>
    <t>ИНСТИТУТ ПРОМ. БЕЗ.</t>
  </si>
  <si>
    <t>ТЕХНОБЕРИНГ</t>
  </si>
  <si>
    <t>TECHNOBEARING</t>
  </si>
  <si>
    <t>МИТРОФАНЬЕВСКИЙ Т. 4А</t>
  </si>
  <si>
    <t>NAYOUNG</t>
  </si>
  <si>
    <r>
      <rPr>
        <b/>
        <i/>
        <u/>
        <sz val="11"/>
        <color theme="1"/>
        <rFont val="Calibri"/>
        <family val="2"/>
        <charset val="204"/>
        <scheme val="minor"/>
      </rPr>
      <t>1</t>
    </r>
    <r>
      <rPr>
        <i/>
        <sz val="11"/>
        <color theme="1"/>
        <rFont val="Calibri"/>
        <family val="2"/>
        <charset val="204"/>
        <scheme val="minor"/>
      </rPr>
      <t>.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scheme val="minor"/>
      </rPr>
      <t xml:space="preserve">Открыть 2 файла: </t>
    </r>
    <r>
      <rPr>
        <b/>
        <sz val="11"/>
        <color theme="3" tint="-0.249977111117893"/>
        <rFont val="Calibri"/>
        <family val="2"/>
        <charset val="204"/>
        <scheme val="minor"/>
      </rPr>
      <t>"Отчеты"</t>
    </r>
    <r>
      <rPr>
        <sz val="11"/>
        <color theme="1"/>
        <rFont val="Calibri"/>
        <family val="2"/>
        <scheme val="minor"/>
      </rPr>
      <t xml:space="preserve"> и </t>
    </r>
    <r>
      <rPr>
        <b/>
        <sz val="11"/>
        <color theme="3" tint="-0.249977111117893"/>
        <rFont val="Calibri"/>
        <family val="2"/>
        <charset val="204"/>
        <scheme val="minor"/>
      </rPr>
      <t>"Архив"</t>
    </r>
  </si>
  <si>
    <r>
      <rPr>
        <b/>
        <i/>
        <u/>
        <sz val="11"/>
        <color theme="1"/>
        <rFont val="Calibri"/>
        <family val="2"/>
        <charset val="204"/>
        <scheme val="minor"/>
      </rPr>
      <t>2</t>
    </r>
    <r>
      <rPr>
        <b/>
        <i/>
        <sz val="11"/>
        <color theme="1"/>
        <rFont val="Calibri"/>
        <family val="2"/>
        <charset val="204"/>
        <scheme val="minor"/>
      </rPr>
      <t>.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scheme val="minor"/>
      </rPr>
      <t xml:space="preserve">В файле </t>
    </r>
    <r>
      <rPr>
        <b/>
        <sz val="11"/>
        <color theme="3" tint="-0.249977111117893"/>
        <rFont val="Calibri"/>
        <family val="2"/>
        <charset val="204"/>
        <scheme val="minor"/>
      </rPr>
      <t xml:space="preserve">"Отчеты" </t>
    </r>
    <r>
      <rPr>
        <sz val="11"/>
        <rFont val="Calibri"/>
        <family val="2"/>
        <charset val="204"/>
        <scheme val="minor"/>
      </rPr>
      <t xml:space="preserve">кликнуть правой кнопкой мыши по вкладке завершённого месяца, выбрать </t>
    </r>
    <r>
      <rPr>
        <b/>
        <sz val="11"/>
        <color theme="5"/>
        <rFont val="Calibri"/>
        <family val="2"/>
        <charset val="204"/>
        <scheme val="minor"/>
      </rPr>
      <t>"Переместить или скопировать…"</t>
    </r>
    <r>
      <rPr>
        <sz val="11"/>
        <rFont val="Calibri"/>
        <family val="2"/>
        <charset val="204"/>
        <scheme val="minor"/>
      </rPr>
      <t xml:space="preserve"> </t>
    </r>
  </si>
  <si>
    <r>
      <rPr>
        <b/>
        <i/>
        <u/>
        <sz val="11"/>
        <color theme="1"/>
        <rFont val="Calibri"/>
        <family val="2"/>
        <charset val="204"/>
        <scheme val="minor"/>
      </rPr>
      <t>4</t>
    </r>
    <r>
      <rPr>
        <sz val="11"/>
        <color theme="1"/>
        <rFont val="Calibri"/>
        <family val="2"/>
        <scheme val="minor"/>
      </rPr>
      <t xml:space="preserve">. Сохранить и закрыть файл </t>
    </r>
    <r>
      <rPr>
        <b/>
        <sz val="11"/>
        <color theme="3" tint="-0.249977111117893"/>
        <rFont val="Calibri"/>
        <family val="2"/>
        <charset val="204"/>
        <scheme val="minor"/>
      </rPr>
      <t>"Архив"</t>
    </r>
  </si>
  <si>
    <r>
      <rPr>
        <b/>
        <i/>
        <u/>
        <sz val="11"/>
        <color theme="1"/>
        <rFont val="Calibri"/>
        <family val="2"/>
        <charset val="204"/>
        <scheme val="minor"/>
      </rPr>
      <t>5</t>
    </r>
    <r>
      <rPr>
        <sz val="11"/>
        <color theme="1"/>
        <rFont val="Calibri"/>
        <family val="2"/>
        <scheme val="minor"/>
      </rPr>
      <t xml:space="preserve">. Кликнуть правой кнопкой мыши по вкладке </t>
    </r>
    <r>
      <rPr>
        <b/>
        <sz val="11"/>
        <color theme="5"/>
        <rFont val="Calibri"/>
        <family val="2"/>
        <charset val="204"/>
        <scheme val="minor"/>
      </rPr>
      <t>"Шаблон на месяц"</t>
    </r>
    <r>
      <rPr>
        <sz val="11"/>
        <color theme="1"/>
        <rFont val="Calibri"/>
        <family val="2"/>
        <scheme val="minor"/>
      </rPr>
      <t xml:space="preserve">, выбрать </t>
    </r>
    <r>
      <rPr>
        <b/>
        <sz val="11"/>
        <color theme="5"/>
        <rFont val="Calibri"/>
        <family val="2"/>
        <charset val="204"/>
        <scheme val="minor"/>
      </rPr>
      <t>"Переместить или скопировать…"</t>
    </r>
  </si>
  <si>
    <r>
      <rPr>
        <b/>
        <i/>
        <u/>
        <sz val="11"/>
        <color theme="1"/>
        <rFont val="Calibri"/>
        <family val="2"/>
        <charset val="204"/>
        <scheme val="minor"/>
      </rPr>
      <t>6</t>
    </r>
    <r>
      <rPr>
        <sz val="11"/>
        <color theme="1"/>
        <rFont val="Calibri"/>
        <family val="2"/>
        <scheme val="minor"/>
      </rPr>
      <t xml:space="preserve">. В открывшемся окошке </t>
    </r>
    <r>
      <rPr>
        <u/>
        <sz val="11"/>
        <color theme="1"/>
        <rFont val="Calibri"/>
        <family val="2"/>
        <charset val="204"/>
        <scheme val="minor"/>
      </rPr>
      <t>поставить галочку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5"/>
        <rFont val="Calibri"/>
        <family val="2"/>
        <charset val="204"/>
        <scheme val="minor"/>
      </rPr>
      <t>"Создать копию"</t>
    </r>
    <r>
      <rPr>
        <sz val="11"/>
        <color theme="1"/>
        <rFont val="Calibri"/>
        <family val="2"/>
        <scheme val="minor"/>
      </rPr>
      <t xml:space="preserve">, нажать </t>
    </r>
    <r>
      <rPr>
        <b/>
        <sz val="11"/>
        <color theme="5"/>
        <rFont val="Calibri"/>
        <family val="2"/>
        <charset val="204"/>
        <scheme val="minor"/>
      </rPr>
      <t>"ОК"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charset val="204"/>
        <scheme val="minor"/>
      </rPr>
      <t>(появится копия вкладки "Шаблон на месяц" в файле "Отчёты")</t>
    </r>
  </si>
  <si>
    <r>
      <rPr>
        <b/>
        <i/>
        <u/>
        <sz val="11"/>
        <color theme="1"/>
        <rFont val="Calibri"/>
        <family val="2"/>
        <charset val="204"/>
        <scheme val="minor"/>
      </rPr>
      <t>7</t>
    </r>
    <r>
      <rPr>
        <sz val="11"/>
        <color theme="1"/>
        <rFont val="Calibri"/>
        <family val="2"/>
        <scheme val="minor"/>
      </rPr>
      <t>. Переименовать копию, изменить месяц на новый</t>
    </r>
  </si>
  <si>
    <t>Как изменить первую вкладку на новый месяц:</t>
  </si>
  <si>
    <t>НАБ. К. ГРИБОЕДОВА 126</t>
  </si>
  <si>
    <t>ТРАМВАЙНЫЙ ПР. 32Д</t>
  </si>
  <si>
    <r>
      <rPr>
        <b/>
        <i/>
        <u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 xml:space="preserve">. В открывшемся окошке </t>
    </r>
    <r>
      <rPr>
        <u/>
        <sz val="11"/>
        <color theme="1"/>
        <rFont val="Calibri"/>
        <family val="2"/>
        <charset val="204"/>
        <scheme val="minor"/>
      </rPr>
      <t>сверху выбрать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5"/>
        <rFont val="Calibri"/>
        <family val="2"/>
        <charset val="204"/>
        <scheme val="minor"/>
      </rPr>
      <t>"Архив.xlsm"</t>
    </r>
    <r>
      <rPr>
        <sz val="11"/>
        <color theme="1"/>
        <rFont val="Calibri"/>
        <family val="2"/>
        <scheme val="minor"/>
      </rPr>
      <t xml:space="preserve">, нажать </t>
    </r>
    <r>
      <rPr>
        <b/>
        <sz val="11"/>
        <color theme="5"/>
        <rFont val="Calibri"/>
        <family val="2"/>
        <charset val="204"/>
        <scheme val="minor"/>
      </rPr>
      <t>"ОК"</t>
    </r>
    <r>
      <rPr>
        <sz val="9"/>
        <color theme="1"/>
        <rFont val="Calibri"/>
        <family val="2"/>
        <charset val="204"/>
        <scheme val="minor"/>
      </rPr>
      <t xml:space="preserve"> </t>
    </r>
    <r>
      <rPr>
        <i/>
        <sz val="8"/>
        <color theme="1"/>
        <rFont val="Calibri"/>
        <family val="2"/>
        <charset val="204"/>
        <scheme val="minor"/>
      </rPr>
      <t>(вкладка отправится в файл "Архив")</t>
    </r>
  </si>
  <si>
    <t>ОММАНЭ</t>
  </si>
  <si>
    <t>УЛ. ГОРОХОВАЯ 3</t>
  </si>
  <si>
    <t>OMMANE</t>
  </si>
  <si>
    <t>Get an e. digital signature</t>
  </si>
  <si>
    <t>УЛ. ВОЛОДАРСКОГО 26/2</t>
  </si>
  <si>
    <t>Получить эл. Подпись/ключ</t>
  </si>
  <si>
    <t>BABJIB</t>
  </si>
  <si>
    <t>УЛ. БОЛ. МОРСКАЯ 3-5</t>
  </si>
  <si>
    <t>EMBASSY OF KOREA</t>
  </si>
  <si>
    <t>ПОСОЛЬСТВО КОРЕИ</t>
  </si>
  <si>
    <t>УЛ. НОВОСЁЛОВ 8</t>
  </si>
  <si>
    <t>ПР. МАРШ. БЛЮХЕРА 6/2</t>
  </si>
  <si>
    <t>MOP MOP</t>
  </si>
  <si>
    <t>SEVZAPKANAT</t>
  </si>
  <si>
    <t>MASTERSKAYA PECHATI</t>
  </si>
  <si>
    <t>AURORA</t>
  </si>
  <si>
    <t>POST OFFICE SEST.</t>
  </si>
  <si>
    <t>VTB</t>
  </si>
  <si>
    <t>WOORI</t>
  </si>
  <si>
    <t>BADIS</t>
  </si>
  <si>
    <t>NAFTEN</t>
  </si>
  <si>
    <t>GRUZOVICHKOV</t>
  </si>
  <si>
    <t>PETERBURGGAZ</t>
  </si>
  <si>
    <t>PETERBURG GAZ</t>
  </si>
  <si>
    <t>NEVO ALPHA</t>
  </si>
  <si>
    <t>ISPYTATELNIY CENTR</t>
  </si>
  <si>
    <t>VSE INSTRUMENTY</t>
  </si>
  <si>
    <t>KSS SZ</t>
  </si>
  <si>
    <t>PETROVICH</t>
  </si>
  <si>
    <t>KPMG</t>
  </si>
  <si>
    <t>GAZPROM</t>
  </si>
  <si>
    <t>ROSTECHNADZOR</t>
  </si>
  <si>
    <t>MINIMAX</t>
  </si>
  <si>
    <t>FNS</t>
  </si>
  <si>
    <t>IFNS №12</t>
  </si>
  <si>
    <t>TECHMA</t>
  </si>
  <si>
    <t>FINNKOUTINGS</t>
  </si>
  <si>
    <t>CHIP AND DIP</t>
  </si>
  <si>
    <t>RODELEN</t>
  </si>
  <si>
    <t>MEJCOMTECHNICA</t>
  </si>
  <si>
    <t>EAST MARKET MOTORS</t>
  </si>
  <si>
    <t>RTI</t>
  </si>
  <si>
    <t>PRAKTICHESKAYA MECH.</t>
  </si>
  <si>
    <t>CENTER OF MED. COM.</t>
  </si>
  <si>
    <t>ETM</t>
  </si>
  <si>
    <t>ZELENAYA SHINA</t>
  </si>
  <si>
    <t>220 VOLT</t>
  </si>
  <si>
    <t>SOGAZ</t>
  </si>
  <si>
    <t>TECHNOLOGII KIP</t>
  </si>
  <si>
    <t>GARAGE TOOLS</t>
  </si>
  <si>
    <t>PARTNER STO</t>
  </si>
  <si>
    <t>ECO BEZOPASNOST</t>
  </si>
  <si>
    <t>TEST SPB</t>
  </si>
  <si>
    <t>TEST-SPB</t>
  </si>
  <si>
    <t>PETER TOUR</t>
  </si>
  <si>
    <t>AVICO</t>
  </si>
  <si>
    <t>TENZOR</t>
  </si>
  <si>
    <t>PFR</t>
  </si>
  <si>
    <t>VILLIS</t>
  </si>
  <si>
    <t>SEVERNIY GOROD</t>
  </si>
  <si>
    <t>POLIMER TECH</t>
  </si>
  <si>
    <t>NTC POBEDA</t>
  </si>
  <si>
    <t>УЛ. ВОРОШИЛОВА 2</t>
  </si>
  <si>
    <t>CITILINK</t>
  </si>
  <si>
    <t>MENGA</t>
  </si>
  <si>
    <t>ANDA</t>
  </si>
  <si>
    <t>УЛ. МАРШ. ГОВОРОВА 35/4</t>
  </si>
  <si>
    <t>PROM. BEZ. STORE</t>
  </si>
  <si>
    <t>КОННОГВАРД. Б. 19</t>
  </si>
  <si>
    <t>K-RADIO</t>
  </si>
  <si>
    <t>ARSENAL</t>
  </si>
  <si>
    <t>ОКТЯБРЬСКАЯ НАБ. 104/2</t>
  </si>
  <si>
    <t>MOSKVA-PEKIN REST.</t>
  </si>
  <si>
    <t>ARISU</t>
  </si>
  <si>
    <t>АПТЕКАРСКАЯ НАБ. 8</t>
  </si>
  <si>
    <t>AMBAR STROI</t>
  </si>
  <si>
    <t>ДОМОСТРОИТ. УЛ. 11</t>
  </si>
  <si>
    <t>ПР. ПЯТИЛЕТОК 1</t>
  </si>
  <si>
    <t>ICE PALACE</t>
  </si>
  <si>
    <t>GUEST HOUSE</t>
  </si>
  <si>
    <t>MONTHLY DISTANCE</t>
  </si>
  <si>
    <t>BEGINNING</t>
  </si>
  <si>
    <t>END</t>
  </si>
  <si>
    <t>47.00 ₽/L</t>
  </si>
  <si>
    <t>CGO</t>
  </si>
  <si>
    <t>TALLINSKOE HWY 198/2</t>
  </si>
  <si>
    <t>BOGATYRSKIY AVE 14/2</t>
  </si>
  <si>
    <t>LEVASHOVSKOE HWY 20</t>
  </si>
  <si>
    <t>KEMSKAYA ST 1</t>
  </si>
  <si>
    <t>MALAYA POSADSKAYA ST 7</t>
  </si>
  <si>
    <t>PIONERSKAYA ST 16</t>
  </si>
  <si>
    <t>SAVUSHKINA ST 128</t>
  </si>
  <si>
    <t>STACHEK AVE 48/2</t>
  </si>
  <si>
    <t>AVTOBUSNAYA ST 7</t>
  </si>
  <si>
    <t>LEVASHOVSKOE HWY 6</t>
  </si>
  <si>
    <t>PRIMORSKIY AVE 78/1</t>
  </si>
  <si>
    <t>PRIMORSKIY AVE 137/1</t>
  </si>
  <si>
    <t>Receive samples</t>
  </si>
  <si>
    <t>STUDENCHESKAYA ST 10</t>
  </si>
  <si>
    <t>VOLODARSKOGO ST 3</t>
  </si>
  <si>
    <t>MEBELNAYA ST 11</t>
  </si>
  <si>
    <t>CAMBRIGE INT. SCHOOL</t>
  </si>
  <si>
    <t>З</t>
  </si>
  <si>
    <t>К</t>
  </si>
  <si>
    <t>Ч</t>
  </si>
  <si>
    <t>БО</t>
  </si>
  <si>
    <t>БЧ</t>
  </si>
  <si>
    <t>РМ</t>
  </si>
  <si>
    <t>Н</t>
  </si>
  <si>
    <t>М</t>
  </si>
  <si>
    <t>KONNOLAKHTINSKIY AVE 4</t>
  </si>
  <si>
    <t>YEFIMOVA ST 3</t>
  </si>
  <si>
    <t>ITALYANSKAYA ST 5</t>
  </si>
  <si>
    <t>RADISSON HOTEL</t>
  </si>
  <si>
    <t>CHAYKOVSKOGO ST 19</t>
  </si>
  <si>
    <t>DER POROSHKINO 1</t>
  </si>
  <si>
    <t>DECATLON</t>
  </si>
  <si>
    <t>TRANSPORTNY PER 6/5</t>
  </si>
  <si>
    <t>IKEA</t>
  </si>
  <si>
    <t>MAXIDOM</t>
  </si>
  <si>
    <t>EXCELLENT</t>
  </si>
  <si>
    <t>MEGA PARNAS</t>
  </si>
  <si>
    <t>BOGATYRSKIY AVE 15</t>
  </si>
  <si>
    <t>RUZOVSKAYA ST 31</t>
  </si>
  <si>
    <t>KONNOGVARD BLVD 17</t>
  </si>
  <si>
    <t>Pick up from service</t>
  </si>
  <si>
    <t>Deliver to the service</t>
  </si>
  <si>
    <t>OBI</t>
  </si>
  <si>
    <t>-</t>
  </si>
  <si>
    <t>LAKHTINSKIY AVE 85</t>
  </si>
  <si>
    <t>MARSH BLYUKHERA AVE 6/2</t>
  </si>
  <si>
    <t>ENGELSA AVE 158</t>
  </si>
  <si>
    <t>MARYINO TERR 18A</t>
  </si>
  <si>
    <t>SAVUSHKINA ST 126</t>
  </si>
  <si>
    <t>TORZHKOVSKAYA ST 5</t>
  </si>
  <si>
    <t>INSTITUTE PROM. BEZ.</t>
  </si>
  <si>
    <t>NOVARDIS</t>
  </si>
  <si>
    <t>BUKHARESTSKAYA ST 24/1</t>
  </si>
  <si>
    <t>DETSKAYA ST 5</t>
  </si>
  <si>
    <t>MOTIVATOR</t>
  </si>
  <si>
    <t>STACHEK AVE 47Л</t>
  </si>
  <si>
    <t>KANTEMIROVSKAYA ST 37</t>
  </si>
  <si>
    <t>VIP ALLIANCE</t>
  </si>
  <si>
    <t>CHUGUNNAYA ST 4</t>
  </si>
  <si>
    <t>KOMENDANTSKIY AVE 3</t>
  </si>
  <si>
    <t>METRO</t>
  </si>
  <si>
    <t>LENTA</t>
  </si>
  <si>
    <t>Deliver package</t>
  </si>
  <si>
    <t>Receive package</t>
  </si>
  <si>
    <t>PLANERNAYA ST 15</t>
  </si>
  <si>
    <t>3 LINIYA VO 20</t>
  </si>
  <si>
    <t>3 LINIYA VO 62</t>
  </si>
  <si>
    <t>from 28.12.2019</t>
  </si>
  <si>
    <t>MAYAKOVSKOGO ST 1/96</t>
  </si>
  <si>
    <t>INCATO</t>
  </si>
  <si>
    <t>KARPOVKA RIVER EMB 5/16</t>
  </si>
  <si>
    <t>OBVOD KANALA EMB 118AB</t>
  </si>
  <si>
    <t>LEYT SHMIDTA EMB 9</t>
  </si>
  <si>
    <t>OBVOD KANALA EMB 24D</t>
  </si>
  <si>
    <t>OKTYABRSKAYA EMB 6/8</t>
  </si>
  <si>
    <t>SINOPSKAYA EMB  22</t>
  </si>
  <si>
    <t>Wash SantaFe</t>
  </si>
  <si>
    <t>Deliver and receive docs</t>
  </si>
  <si>
    <t>KOREANA</t>
  </si>
  <si>
    <t>ISPYTATELEY AVE 37</t>
  </si>
  <si>
    <t>NEKRASOVA ST 32</t>
  </si>
  <si>
    <t>LAKHTA PLAZA</t>
  </si>
  <si>
    <t>Meet a guest</t>
  </si>
  <si>
    <t>Wash the Tucson</t>
  </si>
  <si>
    <t>GOROKHOVAYA ST 3</t>
  </si>
  <si>
    <t>PLANERNAYA ST 7</t>
  </si>
  <si>
    <t>MAXIMUM</t>
  </si>
  <si>
    <t>PITEROIL</t>
  </si>
  <si>
    <t>RESTAURANT</t>
  </si>
  <si>
    <t>RUSTAVELI ST 53/1</t>
  </si>
  <si>
    <t>MAL MITROFANYEVSKAYA 1</t>
  </si>
  <si>
    <t>MEDIKOV AVE 5B</t>
  </si>
  <si>
    <t>SHKOLNAYA ST 108</t>
  </si>
  <si>
    <t>ix 35 (black) to valuation</t>
  </si>
  <si>
    <t>ix 35 (white) to valuation</t>
  </si>
  <si>
    <t>BORISOVA ST 6</t>
  </si>
  <si>
    <t>PLANERNAYA ST 17</t>
  </si>
  <si>
    <t>Buy gift cards</t>
  </si>
  <si>
    <t>VOLODARSKOGO ST 1</t>
  </si>
  <si>
    <t>SALITA</t>
  </si>
  <si>
    <t>YANINO SHOSS ST 114</t>
  </si>
  <si>
    <t>OPTIKOV ST 4</t>
  </si>
  <si>
    <t>Maria Kaling</t>
  </si>
  <si>
    <t>KUSHELEVSKAYA DOR 5/2</t>
  </si>
  <si>
    <t>LIGOVSKIY AVE 256/3E</t>
  </si>
  <si>
    <t>Wash the car (Tucson)</t>
  </si>
  <si>
    <t>ALYANS PTO</t>
  </si>
  <si>
    <t>BEKHTEREVA ST 3/3A</t>
  </si>
  <si>
    <t>EUROLAB</t>
  </si>
  <si>
    <t>KAZANSKAYA SQUARE 2</t>
  </si>
  <si>
    <t>LIPOVAYA ALLEYA 9</t>
  </si>
  <si>
    <t>OKTYABRSKAYA EMB 8/5</t>
  </si>
  <si>
    <t>ROLF</t>
  </si>
  <si>
    <t>2 LINIYA VO 61/30</t>
  </si>
  <si>
    <t>MARIOTT</t>
  </si>
  <si>
    <t>VOSSTANIYA ST 32</t>
  </si>
  <si>
    <t>VEKTOR</t>
  </si>
  <si>
    <t>ROSHCINSKAYA ST 32</t>
  </si>
  <si>
    <t>SAVUSHKINA ST 124</t>
  </si>
  <si>
    <t>INFRACOM</t>
  </si>
  <si>
    <t>VYBORGSKOE HWY 5/1</t>
  </si>
  <si>
    <t>BABJIP</t>
  </si>
  <si>
    <t>KUIBYSHEVA ST 7</t>
  </si>
  <si>
    <t>GORSKOE HWY 165/1</t>
  </si>
  <si>
    <t>Varvara Petrunkina</t>
  </si>
  <si>
    <t>SANGVU</t>
  </si>
  <si>
    <t>SERVICE</t>
  </si>
  <si>
    <t>ix 35</t>
  </si>
  <si>
    <t>Recevie documets</t>
  </si>
  <si>
    <t>DEMYANA BEDNOGO ST</t>
  </si>
  <si>
    <t>Service (Tucson)</t>
  </si>
  <si>
    <t>CAR SERVICE</t>
  </si>
  <si>
    <t>BIRZHEVOY PROYEZD 2</t>
  </si>
  <si>
    <t>SAVUSHKINA ST 9</t>
  </si>
  <si>
    <t>ISPYTATELEY HWY 5/2</t>
  </si>
  <si>
    <t>Wash the car (Sante Fe)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</si>
</sst>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h:mm;@"/>
    <numFmt numFmtId="165" formatCode="[h]:mm"/>
    <numFmt numFmtId="166" formatCode="dd/mm/yyyy\ dddd"/>
    <numFmt numFmtId="167" formatCode="[$-F400]h:mm:ss\ AM/PM"/>
    <numFmt numFmtId="168" formatCode="dd"/>
    <numFmt numFmtId="169" formatCode="0\ \k\m."/>
    <numFmt numFmtId="170" formatCode="###0\ &quot;₽&quot;"/>
    <numFmt numFmtId="171" formatCode="###.0\ &quot;₽&quot;"/>
    <numFmt numFmtId="172" formatCode="0\ \k\m"/>
  </numFmts>
  <fonts count="7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indexed="8"/>
      <name val="Calibri"/>
      <family val="2"/>
      <charset val="204"/>
    </font>
    <font>
      <sz val="10"/>
      <name val="Arial"/>
      <family val="2"/>
      <charset val="204"/>
    </font>
    <font>
      <b/>
      <sz val="24"/>
      <color indexed="10"/>
      <name val="Calibri"/>
      <family val="2"/>
      <charset val="204"/>
    </font>
    <font>
      <sz val="12"/>
      <color indexed="8"/>
      <name val="Calibri"/>
      <family val="2"/>
    </font>
    <font>
      <b/>
      <i/>
      <sz val="18"/>
      <color indexed="8"/>
      <name val="Calibri"/>
      <family val="2"/>
      <charset val="204"/>
    </font>
    <font>
      <sz val="8"/>
      <name val="Calibri"/>
      <family val="2"/>
    </font>
    <font>
      <b/>
      <sz val="12"/>
      <color indexed="8"/>
      <name val="Calibri"/>
      <family val="2"/>
      <charset val="204"/>
    </font>
    <font>
      <u/>
      <sz val="8.4499999999999993"/>
      <color theme="10"/>
      <name val="Calibri"/>
      <family val="2"/>
      <charset val="204"/>
    </font>
    <font>
      <sz val="11"/>
      <name val="Calibri"/>
      <family val="2"/>
    </font>
    <font>
      <sz val="11"/>
      <color indexed="8"/>
      <name val="Calibri"/>
      <family val="2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i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70C0"/>
      <name val="Calibri"/>
      <family val="2"/>
      <scheme val="minor"/>
    </font>
    <font>
      <sz val="10"/>
      <color rgb="FF0070C0"/>
      <name val="Calibri"/>
      <family val="2"/>
      <scheme val="minor"/>
    </font>
    <font>
      <sz val="11"/>
      <color theme="1"/>
      <name val="Calibri"/>
      <family val="2"/>
      <charset val="204"/>
    </font>
    <font>
      <b/>
      <sz val="11"/>
      <color theme="3" tint="-0.249977111117893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sz val="11"/>
      <color theme="5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i/>
      <sz val="8"/>
      <color theme="1"/>
      <name val="Calibri"/>
      <family val="2"/>
      <charset val="204"/>
      <scheme val="minor"/>
    </font>
    <font>
      <sz val="11"/>
      <color theme="0" tint="-0.34998626667073579"/>
      <name val="Calibri"/>
      <family val="2"/>
    </font>
    <font>
      <b/>
      <sz val="12"/>
      <color theme="0" tint="-0.34998626667073579"/>
      <name val="Calibri"/>
      <family val="2"/>
      <charset val="204"/>
    </font>
    <font>
      <b/>
      <i/>
      <sz val="18"/>
      <color theme="0" tint="-0.34998626667073579"/>
      <name val="Calibri"/>
      <family val="2"/>
      <charset val="204"/>
    </font>
    <font>
      <sz val="11"/>
      <color theme="0" tint="-0.34998626667073579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indexed="64"/>
      </left>
      <right style="mediumDashed">
        <color theme="0" tint="-0.24994659260841701"/>
      </right>
      <top style="thin">
        <color indexed="64"/>
      </top>
      <bottom/>
      <diagonal/>
    </border>
    <border>
      <left style="thin">
        <color indexed="64"/>
      </left>
      <right style="mediumDashed">
        <color theme="0" tint="-0.24994659260841701"/>
      </right>
      <top/>
      <bottom style="thin">
        <color indexed="64"/>
      </bottom>
      <diagonal/>
    </border>
    <border>
      <left style="thin">
        <color indexed="64"/>
      </left>
      <right style="mediumDashed">
        <color theme="0" tint="-0.24994659260841701"/>
      </right>
      <top/>
      <bottom/>
      <diagonal/>
    </border>
    <border>
      <left style="mediumDashed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Dashed">
        <color theme="0" tint="-0.24994659260841701"/>
      </right>
      <top style="thin">
        <color indexed="64"/>
      </top>
      <bottom style="thin">
        <color indexed="64"/>
      </bottom>
      <diagonal/>
    </border>
    <border>
      <left style="mediumDashed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mediumDashed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theme="0" tint="-0.499984740745262"/>
      </left>
      <right/>
      <top style="hair">
        <color theme="0" tint="-0.499984740745262"/>
      </top>
      <bottom/>
      <diagonal/>
    </border>
    <border>
      <left/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/>
      <top/>
      <bottom/>
      <diagonal/>
    </border>
    <border>
      <left/>
      <right style="hair">
        <color theme="0" tint="-0.499984740745262"/>
      </right>
      <top/>
      <bottom/>
      <diagonal/>
    </border>
    <border>
      <left style="hair">
        <color theme="0" tint="-0.499984740745262"/>
      </left>
      <right/>
      <top/>
      <bottom style="hair">
        <color theme="0" tint="-0.499984740745262"/>
      </bottom>
      <diagonal/>
    </border>
    <border>
      <left/>
      <right style="hair">
        <color theme="0" tint="-0.499984740745262"/>
      </right>
      <top/>
      <bottom style="hair">
        <color theme="0" tint="-0.499984740745262"/>
      </bottom>
      <diagonal/>
    </border>
    <border>
      <left style="mediumDashed">
        <color theme="0" tint="-0.24994659260841701"/>
      </left>
      <right/>
      <top style="thin">
        <color indexed="64"/>
      </top>
      <bottom/>
      <diagonal/>
    </border>
  </borders>
  <cellStyleXfs count="2">
    <xf numFmtId="0" fontId="0" fillId="0" borderId="0"/>
    <xf numFmtId="0" fontId="50" fillId="0" borderId="0" applyNumberFormat="0" applyFill="0" applyBorder="0" applyAlignment="0" applyProtection="0">
      <alignment vertical="top"/>
      <protection locked="0"/>
    </xf>
  </cellStyleXfs>
  <cellXfs count="381">
    <xf numFmtId="0" fontId="0" fillId="0" borderId="0" xfId="0"/>
    <xf numFmtId="0" fontId="0" fillId="0" borderId="3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0" fillId="0" borderId="0" xfId="0" applyFill="1" applyBorder="1"/>
    <xf numFmtId="164" fontId="0" fillId="0" borderId="0" xfId="0" applyNumberFormat="1" applyBorder="1"/>
    <xf numFmtId="0" fontId="0" fillId="0" borderId="0" xfId="0" applyAlignment="1">
      <alignment horizontal="center" vertical="center"/>
    </xf>
    <xf numFmtId="0" fontId="0" fillId="2" borderId="0" xfId="0" applyFill="1" applyBorder="1"/>
    <xf numFmtId="0" fontId="57" fillId="2" borderId="7" xfId="0" applyFont="1" applyFill="1" applyBorder="1" applyAlignment="1">
      <alignment horizontal="center" vertical="center"/>
    </xf>
    <xf numFmtId="0" fontId="57" fillId="2" borderId="9" xfId="0" applyFont="1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51" fillId="4" borderId="1" xfId="0" applyFont="1" applyFill="1" applyBorder="1" applyAlignment="1">
      <alignment horizontal="center" vertical="center"/>
    </xf>
    <xf numFmtId="0" fontId="51" fillId="4" borderId="2" xfId="0" applyFont="1" applyFill="1" applyBorder="1" applyAlignment="1">
      <alignment horizontal="center" vertical="center"/>
    </xf>
    <xf numFmtId="0" fontId="0" fillId="4" borderId="0" xfId="0" applyFill="1"/>
    <xf numFmtId="0" fontId="44" fillId="4" borderId="0" xfId="0" applyFont="1" applyFill="1" applyAlignment="1">
      <alignment horizontal="center"/>
    </xf>
    <xf numFmtId="0" fontId="44" fillId="4" borderId="2" xfId="0" applyFont="1" applyFill="1" applyBorder="1" applyAlignment="1">
      <alignment horizontal="center"/>
    </xf>
    <xf numFmtId="0" fontId="0" fillId="5" borderId="4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51" fillId="5" borderId="1" xfId="0" applyFont="1" applyFill="1" applyBorder="1" applyAlignment="1">
      <alignment horizontal="center" vertical="center"/>
    </xf>
    <xf numFmtId="0" fontId="51" fillId="5" borderId="2" xfId="0" applyFont="1" applyFill="1" applyBorder="1" applyAlignment="1">
      <alignment horizontal="center" vertical="center"/>
    </xf>
    <xf numFmtId="0" fontId="0" fillId="5" borderId="0" xfId="0" applyFill="1"/>
    <xf numFmtId="0" fontId="44" fillId="5" borderId="0" xfId="0" applyFont="1" applyFill="1" applyAlignment="1">
      <alignment horizontal="center"/>
    </xf>
    <xf numFmtId="0" fontId="44" fillId="5" borderId="2" xfId="0" applyFont="1" applyFill="1" applyBorder="1" applyAlignment="1">
      <alignment horizontal="center"/>
    </xf>
    <xf numFmtId="0" fontId="0" fillId="0" borderId="0" xfId="0" applyNumberFormat="1" applyFill="1"/>
    <xf numFmtId="0" fontId="0" fillId="0" borderId="0" xfId="0" applyNumberFormat="1"/>
    <xf numFmtId="0" fontId="0" fillId="5" borderId="0" xfId="0" applyFill="1" applyAlignment="1">
      <alignment horizontal="center" vertical="center"/>
    </xf>
    <xf numFmtId="0" fontId="61" fillId="5" borderId="0" xfId="0" applyFont="1" applyFill="1" applyAlignment="1">
      <alignment horizontal="center" vertical="center"/>
    </xf>
    <xf numFmtId="0" fontId="61" fillId="5" borderId="5" xfId="0" applyFont="1" applyFill="1" applyBorder="1" applyAlignment="1">
      <alignment horizontal="center" vertical="center"/>
    </xf>
    <xf numFmtId="170" fontId="54" fillId="6" borderId="8" xfId="0" applyNumberFormat="1" applyFont="1" applyFill="1" applyBorder="1" applyAlignment="1">
      <alignment horizontal="right" vertical="center"/>
    </xf>
    <xf numFmtId="0" fontId="58" fillId="7" borderId="2" xfId="0" applyFont="1" applyFill="1" applyBorder="1" applyAlignment="1">
      <alignment horizontal="center" vertical="center"/>
    </xf>
    <xf numFmtId="14" fontId="0" fillId="7" borderId="4" xfId="0" applyNumberFormat="1" applyFill="1" applyBorder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20" fontId="0" fillId="2" borderId="8" xfId="0" applyNumberFormat="1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168" fontId="53" fillId="2" borderId="14" xfId="0" applyNumberFormat="1" applyFont="1" applyFill="1" applyBorder="1" applyAlignment="1">
      <alignment horizontal="center" vertical="center"/>
    </xf>
    <xf numFmtId="0" fontId="53" fillId="2" borderId="15" xfId="0" applyFont="1" applyFill="1" applyBorder="1" applyAlignment="1">
      <alignment horizontal="center" vertical="center"/>
    </xf>
    <xf numFmtId="0" fontId="46" fillId="2" borderId="15" xfId="0" applyFont="1" applyFill="1" applyBorder="1" applyAlignment="1">
      <alignment horizontal="center" vertical="center"/>
    </xf>
    <xf numFmtId="0" fontId="46" fillId="2" borderId="8" xfId="0" applyFont="1" applyFill="1" applyBorder="1" applyAlignment="1">
      <alignment horizontal="center" vertical="center"/>
    </xf>
    <xf numFmtId="0" fontId="46" fillId="2" borderId="14" xfId="0" applyFont="1" applyFill="1" applyBorder="1" applyAlignment="1">
      <alignment horizontal="center" vertical="center"/>
    </xf>
    <xf numFmtId="0" fontId="46" fillId="2" borderId="5" xfId="0" applyFont="1" applyFill="1" applyBorder="1" applyAlignment="1">
      <alignment horizontal="center" vertical="center"/>
    </xf>
    <xf numFmtId="164" fontId="51" fillId="2" borderId="15" xfId="0" applyNumberFormat="1" applyFont="1" applyFill="1" applyBorder="1" applyAlignment="1">
      <alignment horizontal="center" vertical="center"/>
    </xf>
    <xf numFmtId="164" fontId="52" fillId="2" borderId="8" xfId="0" applyNumberFormat="1" applyFont="1" applyFill="1" applyBorder="1" applyAlignment="1">
      <alignment horizontal="center" vertical="center"/>
    </xf>
    <xf numFmtId="20" fontId="51" fillId="2" borderId="8" xfId="0" applyNumberFormat="1" applyFont="1" applyFill="1" applyBorder="1" applyAlignment="1">
      <alignment horizontal="center" vertical="center"/>
    </xf>
    <xf numFmtId="0" fontId="51" fillId="2" borderId="8" xfId="0" applyNumberFormat="1" applyFont="1" applyFill="1" applyBorder="1" applyAlignment="1">
      <alignment horizontal="center" vertical="center"/>
    </xf>
    <xf numFmtId="0" fontId="0" fillId="2" borderId="5" xfId="0" applyFill="1" applyBorder="1"/>
    <xf numFmtId="20" fontId="52" fillId="2" borderId="8" xfId="0" applyNumberFormat="1" applyFont="1" applyFill="1" applyBorder="1" applyAlignment="1">
      <alignment horizontal="center" vertical="center"/>
    </xf>
    <xf numFmtId="0" fontId="52" fillId="2" borderId="8" xfId="0" applyNumberFormat="1" applyFont="1" applyFill="1" applyBorder="1" applyAlignment="1">
      <alignment horizontal="center" vertical="center"/>
    </xf>
    <xf numFmtId="167" fontId="54" fillId="2" borderId="8" xfId="0" applyNumberFormat="1" applyFont="1" applyFill="1" applyBorder="1" applyAlignment="1">
      <alignment horizontal="left" vertical="center"/>
    </xf>
    <xf numFmtId="165" fontId="54" fillId="2" borderId="8" xfId="0" applyNumberFormat="1" applyFont="1" applyFill="1" applyBorder="1" applyAlignment="1">
      <alignment horizontal="right" vertical="center"/>
    </xf>
    <xf numFmtId="0" fontId="54" fillId="2" borderId="8" xfId="0" applyNumberFormat="1" applyFont="1" applyFill="1" applyBorder="1" applyAlignment="1">
      <alignment horizontal="left" vertical="center"/>
    </xf>
    <xf numFmtId="170" fontId="54" fillId="2" borderId="8" xfId="0" applyNumberFormat="1" applyFont="1" applyFill="1" applyBorder="1" applyAlignment="1">
      <alignment horizontal="right" vertical="center"/>
    </xf>
    <xf numFmtId="167" fontId="54" fillId="2" borderId="0" xfId="0" applyNumberFormat="1" applyFont="1" applyFill="1" applyAlignment="1">
      <alignment horizontal="left" vertical="center"/>
    </xf>
    <xf numFmtId="0" fontId="54" fillId="2" borderId="0" xfId="0" applyFont="1" applyFill="1" applyAlignment="1">
      <alignment horizontal="right" vertical="center"/>
    </xf>
    <xf numFmtId="169" fontId="54" fillId="2" borderId="8" xfId="0" applyNumberFormat="1" applyFont="1" applyFill="1" applyBorder="1" applyAlignment="1">
      <alignment horizontal="right" vertical="center"/>
    </xf>
    <xf numFmtId="0" fontId="54" fillId="2" borderId="8" xfId="0" applyNumberFormat="1" applyFont="1" applyFill="1" applyBorder="1" applyAlignment="1">
      <alignment horizontal="right" vertical="center"/>
    </xf>
    <xf numFmtId="0" fontId="54" fillId="2" borderId="0" xfId="0" applyNumberFormat="1" applyFont="1" applyFill="1" applyAlignment="1">
      <alignment horizontal="left" vertical="center"/>
    </xf>
    <xf numFmtId="0" fontId="54" fillId="2" borderId="0" xfId="0" applyNumberFormat="1" applyFont="1" applyFill="1" applyAlignment="1">
      <alignment horizontal="right" vertical="center"/>
    </xf>
    <xf numFmtId="171" fontId="54" fillId="2" borderId="8" xfId="0" applyNumberFormat="1" applyFont="1" applyFill="1" applyBorder="1" applyAlignment="1">
      <alignment horizontal="left" vertical="center"/>
    </xf>
    <xf numFmtId="171" fontId="54" fillId="2" borderId="0" xfId="0" applyNumberFormat="1" applyFont="1" applyFill="1" applyAlignment="1">
      <alignment horizontal="left" vertical="center"/>
    </xf>
    <xf numFmtId="171" fontId="54" fillId="2" borderId="0" xfId="0" applyNumberFormat="1" applyFont="1" applyFill="1" applyAlignment="1">
      <alignment horizontal="right" vertical="center"/>
    </xf>
    <xf numFmtId="170" fontId="56" fillId="2" borderId="8" xfId="0" applyNumberFormat="1" applyFont="1" applyFill="1" applyBorder="1" applyAlignment="1">
      <alignment horizontal="right" vertical="center"/>
    </xf>
    <xf numFmtId="0" fontId="52" fillId="2" borderId="0" xfId="0" applyFont="1" applyFill="1" applyBorder="1"/>
    <xf numFmtId="0" fontId="52" fillId="2" borderId="0" xfId="0" applyFont="1" applyFill="1" applyBorder="1" applyAlignment="1">
      <alignment horizontal="center" vertical="center"/>
    </xf>
    <xf numFmtId="20" fontId="52" fillId="2" borderId="0" xfId="0" applyNumberFormat="1" applyFont="1" applyFill="1" applyBorder="1" applyAlignment="1">
      <alignment horizontal="center" vertical="center"/>
    </xf>
    <xf numFmtId="170" fontId="55" fillId="2" borderId="8" xfId="0" applyNumberFormat="1" applyFont="1" applyFill="1" applyBorder="1" applyAlignment="1">
      <alignment horizontal="right" vertical="center"/>
    </xf>
    <xf numFmtId="0" fontId="0" fillId="2" borderId="0" xfId="0" applyNumberFormat="1" applyFill="1"/>
    <xf numFmtId="167" fontId="50" fillId="2" borderId="0" xfId="1" applyNumberFormat="1" applyFill="1" applyAlignment="1" applyProtection="1"/>
    <xf numFmtId="0" fontId="59" fillId="2" borderId="8" xfId="0" applyFont="1" applyFill="1" applyBorder="1"/>
    <xf numFmtId="164" fontId="59" fillId="2" borderId="8" xfId="0" applyNumberFormat="1" applyFont="1" applyFill="1" applyBorder="1"/>
    <xf numFmtId="167" fontId="0" fillId="2" borderId="0" xfId="0" applyNumberFormat="1" applyFill="1"/>
    <xf numFmtId="0" fontId="0" fillId="0" borderId="17" xfId="0" applyNumberFormat="1" applyFill="1" applyBorder="1"/>
    <xf numFmtId="20" fontId="0" fillId="2" borderId="0" xfId="0" applyNumberFormat="1" applyFill="1" applyBorder="1"/>
    <xf numFmtId="14" fontId="0" fillId="2" borderId="0" xfId="0" applyNumberFormat="1" applyFill="1" applyBorder="1"/>
    <xf numFmtId="167" fontId="0" fillId="2" borderId="0" xfId="0" applyNumberFormat="1" applyFill="1" applyBorder="1"/>
    <xf numFmtId="0" fontId="50" fillId="2" borderId="0" xfId="1" applyFill="1" applyBorder="1" applyAlignment="1" applyProtection="1"/>
    <xf numFmtId="0" fontId="0" fillId="2" borderId="16" xfId="0" applyNumberFormat="1" applyFill="1" applyBorder="1"/>
    <xf numFmtId="0" fontId="0" fillId="2" borderId="19" xfId="0" applyFill="1" applyBorder="1"/>
    <xf numFmtId="0" fontId="0" fillId="2" borderId="18" xfId="0" applyNumberFormat="1" applyFill="1" applyBorder="1"/>
    <xf numFmtId="0" fontId="0" fillId="2" borderId="0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42" fillId="2" borderId="20" xfId="0" applyFont="1" applyFill="1" applyBorder="1" applyAlignment="1">
      <alignment horizontal="center" vertical="center"/>
    </xf>
    <xf numFmtId="0" fontId="42" fillId="2" borderId="22" xfId="0" applyFont="1" applyFill="1" applyBorder="1" applyAlignment="1">
      <alignment horizontal="center" vertical="center"/>
    </xf>
    <xf numFmtId="0" fontId="41" fillId="2" borderId="22" xfId="0" applyFont="1" applyFill="1" applyBorder="1" applyAlignment="1">
      <alignment horizontal="center" vertical="center"/>
    </xf>
    <xf numFmtId="0" fontId="41" fillId="2" borderId="21" xfId="0" applyFont="1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42" fillId="2" borderId="24" xfId="0" applyFont="1" applyFill="1" applyBorder="1" applyAlignment="1">
      <alignment horizontal="center" vertical="center"/>
    </xf>
    <xf numFmtId="0" fontId="41" fillId="8" borderId="20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41" fillId="8" borderId="21" xfId="0" applyFont="1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23" xfId="0" applyFill="1" applyBorder="1" applyAlignment="1">
      <alignment horizontal="center" vertical="center"/>
    </xf>
    <xf numFmtId="0" fontId="41" fillId="8" borderId="22" xfId="0" applyFont="1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41" fillId="9" borderId="20" xfId="0" applyFont="1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41" fillId="9" borderId="21" xfId="0" applyFont="1" applyFill="1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41" fillId="9" borderId="22" xfId="0" applyFont="1" applyFill="1" applyBorder="1" applyAlignment="1">
      <alignment horizontal="center" vertical="center"/>
    </xf>
    <xf numFmtId="0" fontId="0" fillId="9" borderId="9" xfId="0" applyFill="1" applyBorder="1" applyAlignment="1">
      <alignment horizontal="center" vertical="center"/>
    </xf>
    <xf numFmtId="0" fontId="42" fillId="9" borderId="20" xfId="0" applyFont="1" applyFill="1" applyBorder="1" applyAlignment="1">
      <alignment horizontal="center" vertical="center"/>
    </xf>
    <xf numFmtId="0" fontId="42" fillId="9" borderId="21" xfId="0" applyFont="1" applyFill="1" applyBorder="1" applyAlignment="1">
      <alignment horizontal="center" vertical="center"/>
    </xf>
    <xf numFmtId="0" fontId="42" fillId="9" borderId="22" xfId="0" applyFont="1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3" borderId="20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61" fillId="3" borderId="22" xfId="0" applyFont="1" applyFill="1" applyBorder="1" applyAlignment="1">
      <alignment horizontal="center" vertical="center"/>
    </xf>
    <xf numFmtId="14" fontId="0" fillId="2" borderId="4" xfId="0" applyNumberFormat="1" applyFill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40" fillId="9" borderId="21" xfId="0" applyFont="1" applyFill="1" applyBorder="1" applyAlignment="1">
      <alignment horizontal="center" vertical="center"/>
    </xf>
    <xf numFmtId="0" fontId="40" fillId="2" borderId="21" xfId="0" applyFont="1" applyFill="1" applyBorder="1" applyAlignment="1">
      <alignment horizontal="center" vertical="center"/>
    </xf>
    <xf numFmtId="0" fontId="40" fillId="9" borderId="22" xfId="0" applyFont="1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9" borderId="14" xfId="0" applyFill="1" applyBorder="1" applyAlignment="1">
      <alignment horizontal="center" vertical="center"/>
    </xf>
    <xf numFmtId="0" fontId="0" fillId="9" borderId="26" xfId="0" applyFill="1" applyBorder="1" applyAlignment="1">
      <alignment horizontal="center" vertical="center"/>
    </xf>
    <xf numFmtId="0" fontId="0" fillId="9" borderId="8" xfId="0" applyFill="1" applyBorder="1" applyAlignment="1">
      <alignment horizontal="center" vertical="center"/>
    </xf>
    <xf numFmtId="0" fontId="39" fillId="9" borderId="22" xfId="0" applyNumberFormat="1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38" fillId="9" borderId="20" xfId="0" applyFont="1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37" fillId="2" borderId="21" xfId="0" applyFont="1" applyFill="1" applyBorder="1" applyAlignment="1">
      <alignment horizontal="center" vertical="center"/>
    </xf>
    <xf numFmtId="0" fontId="36" fillId="2" borderId="22" xfId="0" applyFont="1" applyFill="1" applyBorder="1" applyAlignment="1">
      <alignment horizontal="center" vertical="center"/>
    </xf>
    <xf numFmtId="0" fontId="36" fillId="8" borderId="20" xfId="0" applyFont="1" applyFill="1" applyBorder="1" applyAlignment="1">
      <alignment horizontal="center" vertical="center"/>
    </xf>
    <xf numFmtId="0" fontId="33" fillId="9" borderId="21" xfId="0" applyFont="1" applyFill="1" applyBorder="1" applyAlignment="1">
      <alignment horizontal="center" vertical="center"/>
    </xf>
    <xf numFmtId="0" fontId="32" fillId="2" borderId="21" xfId="0" applyFont="1" applyFill="1" applyBorder="1" applyAlignment="1">
      <alignment horizontal="center" vertical="center"/>
    </xf>
    <xf numFmtId="0" fontId="63" fillId="9" borderId="24" xfId="0" applyFont="1" applyFill="1" applyBorder="1" applyAlignment="1">
      <alignment horizontal="center" vertical="center"/>
    </xf>
    <xf numFmtId="0" fontId="63" fillId="9" borderId="15" xfId="0" applyFont="1" applyFill="1" applyBorder="1" applyAlignment="1">
      <alignment horizontal="center" vertical="center"/>
    </xf>
    <xf numFmtId="0" fontId="31" fillId="2" borderId="22" xfId="0" applyFont="1" applyFill="1" applyBorder="1" applyAlignment="1">
      <alignment horizontal="center" vertical="center"/>
    </xf>
    <xf numFmtId="0" fontId="31" fillId="2" borderId="24" xfId="0" applyFont="1" applyFill="1" applyBorder="1" applyAlignment="1">
      <alignment horizontal="center" vertical="center"/>
    </xf>
    <xf numFmtId="0" fontId="31" fillId="9" borderId="24" xfId="0" applyFont="1" applyFill="1" applyBorder="1" applyAlignment="1">
      <alignment horizontal="center" vertical="center"/>
    </xf>
    <xf numFmtId="0" fontId="31" fillId="9" borderId="21" xfId="0" applyFont="1" applyFill="1" applyBorder="1" applyAlignment="1">
      <alignment horizontal="center" vertical="center"/>
    </xf>
    <xf numFmtId="0" fontId="31" fillId="9" borderId="22" xfId="0" applyFont="1" applyFill="1" applyBorder="1" applyAlignment="1">
      <alignment horizontal="center" vertical="center"/>
    </xf>
    <xf numFmtId="0" fontId="30" fillId="2" borderId="22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9" fillId="2" borderId="24" xfId="0" applyFont="1" applyFill="1" applyBorder="1" applyAlignment="1">
      <alignment horizontal="center" vertical="center"/>
    </xf>
    <xf numFmtId="0" fontId="30" fillId="2" borderId="24" xfId="0" applyFont="1" applyFill="1" applyBorder="1" applyAlignment="1">
      <alignment horizontal="center" vertical="center"/>
    </xf>
    <xf numFmtId="0" fontId="30" fillId="9" borderId="22" xfId="0" applyFont="1" applyFill="1" applyBorder="1" applyAlignment="1">
      <alignment horizontal="center" vertical="center"/>
    </xf>
    <xf numFmtId="0" fontId="30" fillId="9" borderId="24" xfId="0" applyFont="1" applyFill="1" applyBorder="1" applyAlignment="1">
      <alignment horizontal="center" vertical="center"/>
    </xf>
    <xf numFmtId="0" fontId="42" fillId="9" borderId="24" xfId="0" applyFont="1" applyFill="1" applyBorder="1" applyAlignment="1">
      <alignment horizontal="center" vertical="center"/>
    </xf>
    <xf numFmtId="0" fontId="27" fillId="2" borderId="22" xfId="0" applyFont="1" applyFill="1" applyBorder="1" applyAlignment="1">
      <alignment horizontal="center" vertical="center"/>
    </xf>
    <xf numFmtId="0" fontId="25" fillId="2" borderId="24" xfId="0" applyFont="1" applyFill="1" applyBorder="1" applyAlignment="1">
      <alignment horizontal="center" vertical="center"/>
    </xf>
    <xf numFmtId="0" fontId="24" fillId="2" borderId="24" xfId="0" applyFont="1" applyFill="1" applyBorder="1" applyAlignment="1">
      <alignment horizontal="center" vertical="center"/>
    </xf>
    <xf numFmtId="0" fontId="26" fillId="9" borderId="22" xfId="0" applyFont="1" applyFill="1" applyBorder="1" applyAlignment="1">
      <alignment horizontal="center" vertical="center"/>
    </xf>
    <xf numFmtId="0" fontId="25" fillId="9" borderId="22" xfId="0" applyFont="1" applyFill="1" applyBorder="1" applyAlignment="1">
      <alignment horizontal="center" vertical="center"/>
    </xf>
    <xf numFmtId="0" fontId="24" fillId="9" borderId="24" xfId="0" applyFont="1" applyFill="1" applyBorder="1" applyAlignment="1">
      <alignment horizontal="center" vertical="center"/>
    </xf>
    <xf numFmtId="0" fontId="54" fillId="2" borderId="8" xfId="0" applyFont="1" applyFill="1" applyBorder="1"/>
    <xf numFmtId="0" fontId="54" fillId="2" borderId="0" xfId="0" applyFont="1" applyFill="1"/>
    <xf numFmtId="0" fontId="23" fillId="2" borderId="20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2" fillId="9" borderId="24" xfId="0" applyFont="1" applyFill="1" applyBorder="1" applyAlignment="1">
      <alignment horizontal="center" vertical="center"/>
    </xf>
    <xf numFmtId="0" fontId="0" fillId="8" borderId="33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/>
    </xf>
    <xf numFmtId="0" fontId="22" fillId="2" borderId="4" xfId="0" applyFont="1" applyFill="1" applyBorder="1" applyAlignment="1">
      <alignment horizontal="center" vertical="center"/>
    </xf>
    <xf numFmtId="0" fontId="22" fillId="2" borderId="2" xfId="0" applyFont="1" applyFill="1" applyBorder="1" applyAlignment="1">
      <alignment horizontal="center" vertical="center"/>
    </xf>
    <xf numFmtId="0" fontId="22" fillId="0" borderId="1" xfId="0" applyFont="1" applyFill="1" applyBorder="1" applyAlignment="1">
      <alignment horizontal="center" vertical="center"/>
    </xf>
    <xf numFmtId="0" fontId="22" fillId="0" borderId="2" xfId="0" applyFont="1" applyFill="1" applyBorder="1" applyAlignment="1">
      <alignment horizontal="center" vertical="center"/>
    </xf>
    <xf numFmtId="0" fontId="22" fillId="0" borderId="0" xfId="0" applyFont="1" applyFill="1" applyAlignment="1">
      <alignment horizontal="center" vertical="center"/>
    </xf>
    <xf numFmtId="0" fontId="22" fillId="2" borderId="0" xfId="0" applyFont="1" applyFill="1"/>
    <xf numFmtId="0" fontId="22" fillId="2" borderId="8" xfId="0" applyFont="1" applyFill="1" applyBorder="1" applyAlignment="1">
      <alignment horizontal="center" vertical="center"/>
    </xf>
    <xf numFmtId="0" fontId="22" fillId="2" borderId="1" xfId="0" applyFont="1" applyFill="1" applyBorder="1" applyAlignment="1">
      <alignment horizontal="center" vertical="center"/>
    </xf>
    <xf numFmtId="0" fontId="22" fillId="2" borderId="0" xfId="0" applyFont="1" applyFill="1" applyBorder="1"/>
    <xf numFmtId="0" fontId="22" fillId="2" borderId="19" xfId="0" applyFont="1" applyFill="1" applyBorder="1"/>
    <xf numFmtId="0" fontId="22" fillId="0" borderId="0" xfId="0" applyFont="1"/>
    <xf numFmtId="0" fontId="63" fillId="0" borderId="0" xfId="0" applyFont="1" applyFill="1" applyAlignment="1">
      <alignment horizontal="center" vertical="center"/>
    </xf>
    <xf numFmtId="0" fontId="21" fillId="9" borderId="24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2" borderId="2" xfId="0" applyFill="1" applyBorder="1"/>
    <xf numFmtId="1" fontId="0" fillId="2" borderId="1" xfId="0" applyNumberFormat="1" applyFill="1" applyBorder="1"/>
    <xf numFmtId="1" fontId="0" fillId="2" borderId="4" xfId="0" applyNumberFormat="1" applyFill="1" applyBorder="1"/>
    <xf numFmtId="165" fontId="0" fillId="2" borderId="4" xfId="0" applyNumberFormat="1" applyFill="1" applyBorder="1"/>
    <xf numFmtId="0" fontId="20" fillId="2" borderId="22" xfId="0" applyFont="1" applyFill="1" applyBorder="1" applyAlignment="1">
      <alignment horizontal="center" vertical="center"/>
    </xf>
    <xf numFmtId="0" fontId="19" fillId="2" borderId="22" xfId="0" applyFont="1" applyFill="1" applyBorder="1" applyAlignment="1">
      <alignment horizontal="center" vertical="center"/>
    </xf>
    <xf numFmtId="0" fontId="19" fillId="9" borderId="24" xfId="0" applyFont="1" applyFill="1" applyBorder="1" applyAlignment="1">
      <alignment horizontal="center" vertical="center"/>
    </xf>
    <xf numFmtId="0" fontId="18" fillId="2" borderId="24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7" fillId="2" borderId="20" xfId="0" applyFont="1" applyFill="1" applyBorder="1" applyAlignment="1">
      <alignment horizontal="center" vertical="center"/>
    </xf>
    <xf numFmtId="0" fontId="17" fillId="9" borderId="24" xfId="0" applyFont="1" applyFill="1" applyBorder="1" applyAlignment="1">
      <alignment horizontal="center" vertical="center"/>
    </xf>
    <xf numFmtId="0" fontId="16" fillId="2" borderId="22" xfId="0" applyFont="1" applyFill="1" applyBorder="1" applyAlignment="1">
      <alignment horizontal="center" vertical="center"/>
    </xf>
    <xf numFmtId="0" fontId="15" fillId="2" borderId="22" xfId="0" applyFont="1" applyFill="1" applyBorder="1" applyAlignment="1">
      <alignment horizontal="center" vertical="center"/>
    </xf>
    <xf numFmtId="0" fontId="15" fillId="2" borderId="24" xfId="0" applyFont="1" applyFill="1" applyBorder="1" applyAlignment="1">
      <alignment horizontal="center" vertical="center"/>
    </xf>
    <xf numFmtId="0" fontId="15" fillId="9" borderId="24" xfId="0" applyFont="1" applyFill="1" applyBorder="1" applyAlignment="1">
      <alignment horizontal="center" vertical="center"/>
    </xf>
    <xf numFmtId="0" fontId="22" fillId="2" borderId="2" xfId="0" applyFont="1" applyFill="1" applyBorder="1" applyAlignment="1">
      <alignment horizontal="center" vertical="center"/>
    </xf>
    <xf numFmtId="0" fontId="22" fillId="2" borderId="1" xfId="0" applyFont="1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14" fillId="0" borderId="2" xfId="0" applyFont="1" applyFill="1" applyBorder="1" applyAlignment="1">
      <alignment horizontal="center" vertical="center"/>
    </xf>
    <xf numFmtId="0" fontId="74" fillId="2" borderId="4" xfId="0" applyFont="1" applyFill="1" applyBorder="1" applyAlignment="1">
      <alignment horizontal="center" vertical="center"/>
    </xf>
    <xf numFmtId="0" fontId="74" fillId="2" borderId="2" xfId="0" applyFont="1" applyFill="1" applyBorder="1" applyAlignment="1">
      <alignment horizontal="center" vertical="center"/>
    </xf>
    <xf numFmtId="0" fontId="74" fillId="0" borderId="1" xfId="0" applyFont="1" applyFill="1" applyBorder="1" applyAlignment="1">
      <alignment horizontal="center" vertical="center"/>
    </xf>
    <xf numFmtId="0" fontId="74" fillId="0" borderId="2" xfId="0" applyFont="1" applyFill="1" applyBorder="1" applyAlignment="1">
      <alignment horizontal="center" vertical="center"/>
    </xf>
    <xf numFmtId="0" fontId="74" fillId="0" borderId="0" xfId="0" applyFont="1" applyFill="1" applyAlignment="1">
      <alignment horizontal="center" vertical="center"/>
    </xf>
    <xf numFmtId="0" fontId="74" fillId="2" borderId="0" xfId="0" applyFont="1" applyFill="1"/>
    <xf numFmtId="0" fontId="74" fillId="2" borderId="0" xfId="0" applyFont="1" applyFill="1" applyAlignment="1">
      <alignment horizontal="center" vertical="center"/>
    </xf>
    <xf numFmtId="0" fontId="74" fillId="2" borderId="8" xfId="0" applyFont="1" applyFill="1" applyBorder="1" applyAlignment="1">
      <alignment horizontal="center" vertical="center"/>
    </xf>
    <xf numFmtId="20" fontId="74" fillId="2" borderId="8" xfId="0" applyNumberFormat="1" applyFont="1" applyFill="1" applyBorder="1" applyAlignment="1">
      <alignment horizontal="center" vertical="center"/>
    </xf>
    <xf numFmtId="0" fontId="74" fillId="2" borderId="14" xfId="0" applyFont="1" applyFill="1" applyBorder="1" applyAlignment="1">
      <alignment horizontal="center" vertical="center"/>
    </xf>
    <xf numFmtId="0" fontId="74" fillId="2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13" fillId="0" borderId="2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12" fillId="0" borderId="0" xfId="0" applyFont="1" applyFill="1" applyAlignment="1">
      <alignment horizontal="center" vertical="center"/>
    </xf>
    <xf numFmtId="0" fontId="12" fillId="2" borderId="20" xfId="0" applyFont="1" applyFill="1" applyBorder="1" applyAlignment="1">
      <alignment horizontal="center" vertical="center"/>
    </xf>
    <xf numFmtId="0" fontId="12" fillId="2" borderId="22" xfId="0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0" fontId="11" fillId="2" borderId="22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0" fontId="9" fillId="2" borderId="22" xfId="0" applyFont="1" applyFill="1" applyBorder="1" applyAlignment="1">
      <alignment horizontal="center" vertical="center"/>
    </xf>
    <xf numFmtId="0" fontId="9" fillId="9" borderId="24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2" borderId="22" xfId="0" applyFont="1" applyFill="1" applyBorder="1" applyAlignment="1">
      <alignment horizontal="center" vertical="center"/>
    </xf>
    <xf numFmtId="0" fontId="4" fillId="9" borderId="24" xfId="0" applyFont="1" applyFill="1" applyBorder="1" applyAlignment="1">
      <alignment horizontal="center" vertical="center"/>
    </xf>
    <xf numFmtId="0" fontId="63" fillId="0" borderId="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2" borderId="22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172" fontId="54" fillId="2" borderId="8" xfId="0" applyNumberFormat="1" applyFont="1" applyFill="1" applyBorder="1" applyAlignment="1">
      <alignment horizontal="right" vertical="center"/>
    </xf>
    <xf numFmtId="168" fontId="71" fillId="2" borderId="6" xfId="0" applyNumberFormat="1" applyFont="1" applyFill="1" applyBorder="1" applyAlignment="1">
      <alignment horizontal="center" vertical="center"/>
    </xf>
    <xf numFmtId="168" fontId="71" fillId="2" borderId="7" xfId="0" applyNumberFormat="1" applyFont="1" applyFill="1" applyBorder="1" applyAlignment="1">
      <alignment horizontal="center" vertical="center"/>
    </xf>
    <xf numFmtId="168" fontId="71" fillId="2" borderId="5" xfId="0" applyNumberFormat="1" applyFont="1" applyFill="1" applyBorder="1" applyAlignment="1">
      <alignment horizontal="center" vertical="center"/>
    </xf>
    <xf numFmtId="168" fontId="71" fillId="2" borderId="9" xfId="0" applyNumberFormat="1" applyFont="1" applyFill="1" applyBorder="1" applyAlignment="1">
      <alignment horizontal="center" vertical="center"/>
    </xf>
    <xf numFmtId="0" fontId="74" fillId="0" borderId="1" xfId="0" applyFont="1" applyFill="1" applyBorder="1" applyAlignment="1">
      <alignment horizontal="center" vertical="center"/>
    </xf>
    <xf numFmtId="0" fontId="74" fillId="0" borderId="2" xfId="0" applyFont="1" applyFill="1" applyBorder="1" applyAlignment="1">
      <alignment horizontal="center" vertical="center"/>
    </xf>
    <xf numFmtId="164" fontId="74" fillId="0" borderId="1" xfId="0" applyNumberFormat="1" applyFont="1" applyFill="1" applyBorder="1" applyAlignment="1">
      <alignment horizontal="center" vertical="center"/>
    </xf>
    <xf numFmtId="164" fontId="74" fillId="0" borderId="2" xfId="0" applyNumberFormat="1" applyFont="1" applyFill="1" applyBorder="1" applyAlignment="1">
      <alignment horizontal="center" vertical="center"/>
    </xf>
    <xf numFmtId="0" fontId="74" fillId="0" borderId="6" xfId="0" applyFont="1" applyFill="1" applyBorder="1" applyAlignment="1">
      <alignment horizontal="center" vertical="center"/>
    </xf>
    <xf numFmtId="0" fontId="74" fillId="0" borderId="12" xfId="0" applyFont="1" applyFill="1" applyBorder="1" applyAlignment="1">
      <alignment horizontal="center" vertical="center"/>
    </xf>
    <xf numFmtId="0" fontId="74" fillId="0" borderId="8" xfId="0" applyFont="1" applyFill="1" applyBorder="1" applyAlignment="1">
      <alignment horizontal="center" vertical="center"/>
    </xf>
    <xf numFmtId="168" fontId="52" fillId="2" borderId="5" xfId="0" applyNumberFormat="1" applyFont="1" applyFill="1" applyBorder="1" applyAlignment="1">
      <alignment horizontal="center" vertical="center"/>
    </xf>
    <xf numFmtId="168" fontId="52" fillId="2" borderId="9" xfId="0" applyNumberFormat="1" applyFont="1" applyFill="1" applyBorder="1" applyAlignment="1">
      <alignment horizontal="center" vertical="center"/>
    </xf>
    <xf numFmtId="166" fontId="72" fillId="2" borderId="11" xfId="0" applyNumberFormat="1" applyFont="1" applyFill="1" applyBorder="1" applyAlignment="1">
      <alignment horizontal="left" vertical="center" indent="5"/>
    </xf>
    <xf numFmtId="0" fontId="73" fillId="0" borderId="4" xfId="0" applyFont="1" applyFill="1" applyBorder="1" applyAlignment="1">
      <alignment horizontal="center" vertical="center"/>
    </xf>
    <xf numFmtId="0" fontId="73" fillId="0" borderId="2" xfId="0" applyFont="1" applyFill="1" applyBorder="1" applyAlignment="1">
      <alignment horizontal="center" vertical="center"/>
    </xf>
    <xf numFmtId="0" fontId="74" fillId="0" borderId="4" xfId="0" applyFont="1" applyFill="1" applyBorder="1" applyAlignment="1">
      <alignment horizontal="center" vertical="center"/>
    </xf>
    <xf numFmtId="0" fontId="74" fillId="2" borderId="4" xfId="0" applyFont="1" applyFill="1" applyBorder="1" applyAlignment="1">
      <alignment horizontal="center" vertical="center"/>
    </xf>
    <xf numFmtId="0" fontId="74" fillId="2" borderId="2" xfId="0" applyFont="1" applyFill="1" applyBorder="1" applyAlignment="1">
      <alignment horizontal="center" vertical="center"/>
    </xf>
    <xf numFmtId="0" fontId="74" fillId="0" borderId="5" xfId="0" applyFont="1" applyFill="1" applyBorder="1" applyAlignment="1">
      <alignment horizontal="center" vertical="center"/>
    </xf>
    <xf numFmtId="0" fontId="51" fillId="2" borderId="5" xfId="0" applyFont="1" applyFill="1" applyBorder="1" applyAlignment="1">
      <alignment horizontal="center"/>
    </xf>
    <xf numFmtId="0" fontId="73" fillId="0" borderId="1" xfId="0" applyFont="1" applyFill="1" applyBorder="1" applyAlignment="1">
      <alignment horizontal="center" vertical="center"/>
    </xf>
    <xf numFmtId="0" fontId="74" fillId="2" borderId="1" xfId="0" applyFont="1" applyFill="1" applyBorder="1" applyAlignment="1">
      <alignment horizontal="center" vertical="center"/>
    </xf>
    <xf numFmtId="0" fontId="74" fillId="2" borderId="6" xfId="0" applyFont="1" applyFill="1" applyBorder="1" applyAlignment="1">
      <alignment horizontal="center" vertical="center"/>
    </xf>
    <xf numFmtId="0" fontId="74" fillId="2" borderId="12" xfId="0" applyFont="1" applyFill="1" applyBorder="1" applyAlignment="1">
      <alignment horizontal="center" vertical="center"/>
    </xf>
    <xf numFmtId="168" fontId="52" fillId="2" borderId="12" xfId="0" applyNumberFormat="1" applyFont="1" applyFill="1" applyBorder="1" applyAlignment="1">
      <alignment horizontal="center" vertical="center"/>
    </xf>
    <xf numFmtId="168" fontId="52" fillId="2" borderId="3" xfId="0" applyNumberFormat="1" applyFont="1" applyFill="1" applyBorder="1" applyAlignment="1">
      <alignment horizontal="center" vertical="center"/>
    </xf>
    <xf numFmtId="0" fontId="74" fillId="2" borderId="8" xfId="0" applyFont="1" applyFill="1" applyBorder="1" applyAlignment="1">
      <alignment horizontal="center" vertical="center"/>
    </xf>
    <xf numFmtId="0" fontId="60" fillId="2" borderId="14" xfId="0" applyFont="1" applyFill="1" applyBorder="1" applyAlignment="1">
      <alignment horizontal="center" vertical="center"/>
    </xf>
    <xf numFmtId="0" fontId="60" fillId="2" borderId="15" xfId="0" applyFont="1" applyFill="1" applyBorder="1" applyAlignment="1">
      <alignment horizontal="center" vertical="center"/>
    </xf>
    <xf numFmtId="0" fontId="52" fillId="2" borderId="1" xfId="0" applyFont="1" applyFill="1" applyBorder="1" applyAlignment="1">
      <alignment horizontal="center" vertical="center"/>
    </xf>
    <xf numFmtId="0" fontId="52" fillId="2" borderId="2" xfId="0" applyFont="1" applyFill="1" applyBorder="1" applyAlignment="1">
      <alignment horizontal="center" vertical="center"/>
    </xf>
    <xf numFmtId="165" fontId="52" fillId="2" borderId="1" xfId="0" applyNumberFormat="1" applyFont="1" applyFill="1" applyBorder="1" applyAlignment="1">
      <alignment horizontal="center" vertical="center"/>
    </xf>
    <xf numFmtId="165" fontId="52" fillId="2" borderId="2" xfId="0" applyNumberFormat="1" applyFont="1" applyFill="1" applyBorder="1" applyAlignment="1">
      <alignment horizontal="center" vertical="center"/>
    </xf>
    <xf numFmtId="0" fontId="52" fillId="2" borderId="6" xfId="0" applyFont="1" applyFill="1" applyBorder="1" applyAlignment="1">
      <alignment horizontal="center" vertical="center"/>
    </xf>
    <xf numFmtId="0" fontId="52" fillId="2" borderId="12" xfId="0" applyFont="1" applyFill="1" applyBorder="1" applyAlignment="1">
      <alignment horizontal="center" vertical="center"/>
    </xf>
    <xf numFmtId="166" fontId="72" fillId="2" borderId="0" xfId="0" applyNumberFormat="1" applyFont="1" applyFill="1" applyBorder="1" applyAlignment="1">
      <alignment horizontal="left" vertical="center" indent="5"/>
    </xf>
    <xf numFmtId="0" fontId="0" fillId="0" borderId="1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164" fontId="22" fillId="0" borderId="1" xfId="0" applyNumberFormat="1" applyFont="1" applyFill="1" applyBorder="1" applyAlignment="1">
      <alignment horizontal="center" vertical="center"/>
    </xf>
    <xf numFmtId="164" fontId="22" fillId="0" borderId="2" xfId="0" applyNumberFormat="1" applyFont="1" applyFill="1" applyBorder="1" applyAlignment="1">
      <alignment horizontal="center" vertical="center"/>
    </xf>
    <xf numFmtId="164" fontId="0" fillId="0" borderId="1" xfId="0" applyNumberFormat="1" applyFill="1" applyBorder="1" applyAlignment="1">
      <alignment horizontal="center" vertical="center"/>
    </xf>
    <xf numFmtId="164" fontId="0" fillId="0" borderId="2" xfId="0" applyNumberFormat="1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166" fontId="49" fillId="2" borderId="11" xfId="0" applyNumberFormat="1" applyFont="1" applyFill="1" applyBorder="1" applyAlignment="1">
      <alignment horizontal="left" vertical="center" indent="5"/>
    </xf>
    <xf numFmtId="166" fontId="49" fillId="2" borderId="0" xfId="0" applyNumberFormat="1" applyFont="1" applyFill="1" applyBorder="1" applyAlignment="1">
      <alignment horizontal="left" vertical="center" indent="5"/>
    </xf>
    <xf numFmtId="0" fontId="47" fillId="0" borderId="1" xfId="0" applyFont="1" applyFill="1" applyBorder="1" applyAlignment="1">
      <alignment horizontal="center" vertical="center"/>
    </xf>
    <xf numFmtId="0" fontId="47" fillId="0" borderId="2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22" fillId="2" borderId="1" xfId="0" applyFont="1" applyFill="1" applyBorder="1" applyAlignment="1">
      <alignment horizontal="center" vertical="center"/>
    </xf>
    <xf numFmtId="0" fontId="22" fillId="2" borderId="2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20" fontId="0" fillId="0" borderId="1" xfId="0" applyNumberFormat="1" applyFill="1" applyBorder="1" applyAlignment="1">
      <alignment horizontal="center" vertical="center"/>
    </xf>
    <xf numFmtId="20" fontId="0" fillId="0" borderId="2" xfId="0" applyNumberFormat="1" applyFill="1" applyBorder="1" applyAlignment="1">
      <alignment horizontal="center" vertical="center"/>
    </xf>
    <xf numFmtId="164" fontId="10" fillId="0" borderId="1" xfId="0" applyNumberFormat="1" applyFont="1" applyFill="1" applyBorder="1" applyAlignment="1">
      <alignment horizontal="center" vertical="center"/>
    </xf>
    <xf numFmtId="164" fontId="10" fillId="0" borderId="2" xfId="0" applyNumberFormat="1" applyFont="1" applyFill="1" applyBorder="1" applyAlignment="1">
      <alignment horizontal="center" vertical="center"/>
    </xf>
    <xf numFmtId="0" fontId="51" fillId="5" borderId="1" xfId="0" applyFont="1" applyFill="1" applyBorder="1" applyAlignment="1">
      <alignment horizontal="center" vertical="center"/>
    </xf>
    <xf numFmtId="0" fontId="51" fillId="5" borderId="2" xfId="0" applyFont="1" applyFill="1" applyBorder="1" applyAlignment="1">
      <alignment horizontal="center" vertical="center"/>
    </xf>
    <xf numFmtId="20" fontId="0" fillId="5" borderId="1" xfId="0" applyNumberFormat="1" applyFill="1" applyBorder="1" applyAlignment="1">
      <alignment horizontal="center" vertical="center"/>
    </xf>
    <xf numFmtId="20" fontId="0" fillId="5" borderId="2" xfId="0" applyNumberFormat="1" applyFill="1" applyBorder="1" applyAlignment="1">
      <alignment horizontal="center" vertical="center"/>
    </xf>
    <xf numFmtId="20" fontId="51" fillId="5" borderId="1" xfId="0" applyNumberFormat="1" applyFont="1" applyFill="1" applyBorder="1" applyAlignment="1">
      <alignment horizontal="center" vertical="center"/>
    </xf>
    <xf numFmtId="0" fontId="43" fillId="5" borderId="1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43" fillId="5" borderId="13" xfId="0" applyFont="1" applyFill="1" applyBorder="1" applyAlignment="1">
      <alignment horizontal="center" vertical="center"/>
    </xf>
    <xf numFmtId="0" fontId="45" fillId="5" borderId="0" xfId="0" applyFont="1" applyFill="1" applyAlignment="1">
      <alignment horizontal="center"/>
    </xf>
    <xf numFmtId="0" fontId="45" fillId="5" borderId="0" xfId="0" applyFont="1" applyFill="1" applyBorder="1" applyAlignment="1">
      <alignment horizontal="center"/>
    </xf>
    <xf numFmtId="0" fontId="45" fillId="5" borderId="10" xfId="0" applyFont="1" applyFill="1" applyBorder="1" applyAlignment="1">
      <alignment horizontal="center"/>
    </xf>
    <xf numFmtId="0" fontId="45" fillId="5" borderId="11" xfId="0" applyFont="1" applyFill="1" applyBorder="1" applyAlignment="1">
      <alignment horizontal="center"/>
    </xf>
    <xf numFmtId="20" fontId="0" fillId="5" borderId="4" xfId="0" applyNumberForma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45" fillId="5" borderId="10" xfId="0" applyFont="1" applyFill="1" applyBorder="1" applyAlignment="1">
      <alignment horizontal="center" vertical="center"/>
    </xf>
    <xf numFmtId="0" fontId="45" fillId="5" borderId="11" xfId="0" applyFont="1" applyFill="1" applyBorder="1" applyAlignment="1">
      <alignment horizontal="center" vertical="center"/>
    </xf>
    <xf numFmtId="0" fontId="45" fillId="4" borderId="0" xfId="0" applyFont="1" applyFill="1" applyAlignment="1">
      <alignment horizontal="center"/>
    </xf>
    <xf numFmtId="0" fontId="45" fillId="4" borderId="0" xfId="0" applyFont="1" applyFill="1" applyBorder="1" applyAlignment="1">
      <alignment horizontal="center"/>
    </xf>
    <xf numFmtId="0" fontId="43" fillId="4" borderId="11" xfId="0" applyFont="1" applyFill="1" applyBorder="1" applyAlignment="1">
      <alignment horizontal="center" vertical="center"/>
    </xf>
    <xf numFmtId="20" fontId="0" fillId="4" borderId="4" xfId="0" applyNumberFormat="1" applyFill="1" applyBorder="1" applyAlignment="1">
      <alignment horizontal="center" vertical="center"/>
    </xf>
    <xf numFmtId="20" fontId="0" fillId="4" borderId="2" xfId="0" applyNumberFormat="1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20" fontId="0" fillId="4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43" fillId="4" borderId="13" xfId="0" applyFont="1" applyFill="1" applyBorder="1" applyAlignment="1">
      <alignment horizontal="center" vertical="center"/>
    </xf>
    <xf numFmtId="0" fontId="45" fillId="4" borderId="10" xfId="0" applyFont="1" applyFill="1" applyBorder="1" applyAlignment="1">
      <alignment horizontal="center"/>
    </xf>
    <xf numFmtId="0" fontId="45" fillId="4" borderId="11" xfId="0" applyFont="1" applyFill="1" applyBorder="1" applyAlignment="1">
      <alignment horizontal="center"/>
    </xf>
    <xf numFmtId="20" fontId="51" fillId="4" borderId="1" xfId="0" applyNumberFormat="1" applyFont="1" applyFill="1" applyBorder="1" applyAlignment="1">
      <alignment horizontal="center" vertical="center"/>
    </xf>
    <xf numFmtId="0" fontId="51" fillId="4" borderId="2" xfId="0" applyFont="1" applyFill="1" applyBorder="1" applyAlignment="1">
      <alignment horizontal="center" vertical="center"/>
    </xf>
    <xf numFmtId="0" fontId="51" fillId="4" borderId="1" xfId="0" applyFont="1" applyFill="1" applyBorder="1" applyAlignment="1">
      <alignment horizontal="center" vertical="center"/>
    </xf>
    <xf numFmtId="0" fontId="45" fillId="4" borderId="10" xfId="0" applyFont="1" applyFill="1" applyBorder="1" applyAlignment="1">
      <alignment horizontal="center" vertical="center"/>
    </xf>
    <xf numFmtId="0" fontId="45" fillId="4" borderId="11" xfId="0" applyFont="1" applyFill="1" applyBorder="1" applyAlignment="1">
      <alignment horizontal="center" vertical="center"/>
    </xf>
    <xf numFmtId="168" fontId="52" fillId="2" borderId="6" xfId="0" applyNumberFormat="1" applyFont="1" applyFill="1" applyBorder="1" applyAlignment="1">
      <alignment horizontal="center" vertical="center"/>
    </xf>
    <xf numFmtId="168" fontId="52" fillId="2" borderId="7" xfId="0" applyNumberFormat="1" applyFont="1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47" fillId="0" borderId="4" xfId="0" applyFont="1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22" fillId="2" borderId="4" xfId="0" applyFont="1" applyFill="1" applyBorder="1" applyAlignment="1">
      <alignment horizontal="center" vertical="center"/>
    </xf>
    <xf numFmtId="0" fontId="35" fillId="2" borderId="29" xfId="0" applyFont="1" applyFill="1" applyBorder="1" applyAlignment="1">
      <alignment horizontal="left" vertical="center" wrapText="1"/>
    </xf>
    <xf numFmtId="0" fontId="0" fillId="2" borderId="30" xfId="0" applyFill="1" applyBorder="1" applyAlignment="1">
      <alignment horizontal="left" vertical="center" wrapText="1"/>
    </xf>
    <xf numFmtId="0" fontId="58" fillId="2" borderId="27" xfId="0" applyFont="1" applyFill="1" applyBorder="1" applyAlignment="1">
      <alignment horizontal="center" vertical="center" wrapText="1"/>
    </xf>
    <xf numFmtId="0" fontId="58" fillId="2" borderId="28" xfId="0" applyFont="1" applyFill="1" applyBorder="1" applyAlignment="1">
      <alignment horizontal="center" vertical="center" wrapText="1"/>
    </xf>
    <xf numFmtId="0" fontId="36" fillId="2" borderId="30" xfId="0" applyFont="1" applyFill="1" applyBorder="1" applyAlignment="1">
      <alignment horizontal="left" vertical="center" wrapText="1"/>
    </xf>
    <xf numFmtId="0" fontId="36" fillId="2" borderId="29" xfId="0" applyFont="1" applyFill="1" applyBorder="1" applyAlignment="1">
      <alignment horizontal="left" vertical="center" wrapText="1"/>
    </xf>
    <xf numFmtId="0" fontId="35" fillId="2" borderId="31" xfId="0" applyFont="1" applyFill="1" applyBorder="1" applyAlignment="1">
      <alignment horizontal="left" vertical="center" wrapText="1"/>
    </xf>
    <xf numFmtId="0" fontId="36" fillId="2" borderId="32" xfId="0" applyFont="1" applyFill="1" applyBorder="1" applyAlignment="1">
      <alignment horizontal="left" vertical="center" wrapText="1"/>
    </xf>
    <xf numFmtId="0" fontId="0" fillId="2" borderId="29" xfId="0" applyFill="1" applyBorder="1" applyAlignment="1">
      <alignment horizontal="left" vertical="center" wrapText="1"/>
    </xf>
    <xf numFmtId="0" fontId="34" fillId="2" borderId="29" xfId="0" applyFont="1" applyFill="1" applyBorder="1" applyAlignment="1">
      <alignment horizontal="left" vertical="center" wrapText="1"/>
    </xf>
  </cellXfs>
  <cellStyles count="2">
    <cellStyle name="Гиперссылка" xfId="1" builtinId="8"/>
    <cellStyle name="Обычный" xfId="0" builtinId="0"/>
  </cellStyles>
  <dxfs count="342"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</dxfs>
  <tableStyles count="0" defaultTableStyle="TableStyleMedium2" defaultPivotStyle="PivotStyleMedium9"/>
  <colors>
    <mruColors>
      <color rgb="FFFF6699"/>
      <color rgb="FFFF3399"/>
      <color rgb="FFFF33CC"/>
      <color rgb="FFFF9900"/>
      <color rgb="FFF7F3D9"/>
      <color rgb="FFFFFF66"/>
      <color rgb="FFB2B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Steel/AppData/Roaming/Microsoft/Excel/&#1054;&#1090;&#1095;&#1077;&#1090;&#1099;%20(version%201)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иски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>
    <tabColor indexed="13"/>
  </sheetPr>
  <dimension ref="A1:Y1063"/>
  <sheetViews>
    <sheetView tabSelected="1" topLeftCell="A1019" zoomScale="85" zoomScaleNormal="85" zoomScalePageLayoutView="70" workbookViewId="0">
      <selection activeCell="R26" sqref="R26"/>
    </sheetView>
  </sheetViews>
  <sheetFormatPr defaultColWidth="0" defaultRowHeight="15" zeroHeight="1" x14ac:dyDescent="0.25"/>
  <cols>
    <col min="1" max="1" width="6" customWidth="1"/>
    <col min="2" max="2" width="21.85546875" style="7" customWidth="1"/>
    <col min="3" max="3" width="24.7109375" style="178" customWidth="1"/>
    <col min="4" max="4" width="8.7109375" style="178" customWidth="1"/>
    <col min="5" max="5" width="24.7109375" style="178" customWidth="1"/>
    <col min="6" max="6" width="8.7109375" customWidth="1"/>
    <col min="7" max="7" width="24" customWidth="1"/>
    <col min="8" max="8" width="9" style="3" customWidth="1"/>
    <col min="9" max="9" width="6.5703125" style="5" customWidth="1"/>
    <col min="10" max="11" width="7.28515625" customWidth="1"/>
    <col min="12" max="12" width="12.28515625" customWidth="1"/>
    <col min="13" max="13" width="12.7109375" customWidth="1"/>
    <col min="14" max="14" width="22.42578125" customWidth="1"/>
    <col min="15" max="15" width="11.7109375" customWidth="1"/>
    <col min="16" max="16" width="14.140625" customWidth="1"/>
    <col min="17" max="17" width="6.28515625" customWidth="1"/>
    <col min="18" max="18" width="17.28515625" customWidth="1"/>
    <col min="19" max="19" width="12.42578125" customWidth="1"/>
    <col min="20" max="20" width="4.5703125" style="28" customWidth="1"/>
    <col min="21" max="21" width="9.140625" style="28" hidden="1" customWidth="1"/>
    <col min="22" max="25" width="9.140625" style="29" hidden="1" customWidth="1"/>
    <col min="26" max="16384" width="9.140625" hidden="1"/>
  </cols>
  <sheetData>
    <row r="1" spans="1:21" ht="15.75" customHeight="1" x14ac:dyDescent="0.25">
      <c r="A1" s="283">
        <f>DATE(K1,J1,1)</f>
        <v>43831</v>
      </c>
      <c r="B1" s="283"/>
      <c r="C1" s="283"/>
      <c r="D1" s="283"/>
      <c r="E1" s="283"/>
      <c r="F1" s="283"/>
      <c r="G1" s="283"/>
      <c r="H1" s="283"/>
      <c r="I1" s="8"/>
      <c r="J1" s="41">
        <v>1</v>
      </c>
      <c r="K1" s="42">
        <v>2020</v>
      </c>
      <c r="L1" s="43" t="s">
        <v>24</v>
      </c>
      <c r="M1" s="44" t="s">
        <v>25</v>
      </c>
      <c r="N1" s="44" t="s">
        <v>91</v>
      </c>
      <c r="O1" s="44" t="s">
        <v>104</v>
      </c>
      <c r="P1" s="45" t="s">
        <v>26</v>
      </c>
      <c r="Q1" s="46"/>
      <c r="R1" s="36"/>
      <c r="S1" s="36"/>
      <c r="T1" s="72"/>
      <c r="U1" s="77"/>
    </row>
    <row r="2" spans="1:21" ht="13.5" customHeight="1" x14ac:dyDescent="0.25">
      <c r="A2" s="284"/>
      <c r="B2" s="286" t="s">
        <v>34</v>
      </c>
      <c r="C2" s="209" t="s">
        <v>39</v>
      </c>
      <c r="D2" s="287" t="s">
        <v>36</v>
      </c>
      <c r="E2" s="209" t="s">
        <v>37</v>
      </c>
      <c r="F2" s="286" t="s">
        <v>36</v>
      </c>
      <c r="G2" s="289" t="s">
        <v>35</v>
      </c>
      <c r="H2" s="280" t="s">
        <v>40</v>
      </c>
      <c r="I2" s="8"/>
      <c r="J2" s="270">
        <f>A1</f>
        <v>43831</v>
      </c>
      <c r="K2" s="271"/>
      <c r="L2" s="47" t="str">
        <f>IF(IF(D4,D4,F4) = 0, "",IF(D4,D4,F4))</f>
        <v/>
      </c>
      <c r="M2" s="48" t="str">
        <f>IFERROR(IF(LOOKUP(9E+307,F4:F33)&gt;LOOKUP(9E+307,D4:D33),LOOKUP(9E+307,F4:F33),LOOKUP(9E+307,D4:D33)),"")</f>
        <v/>
      </c>
      <c r="N2" s="49" t="str">
        <f>IF(AND(NOT(ISERR(M2-L2)),NOT(AND(ISBLANK(M2),ISBLANK(L2)))),IF(M2&lt;0.166666667,1-L2+M2,M2-L2),"")</f>
        <v/>
      </c>
      <c r="O2" s="49" t="str">
        <f>IF(F34 = 0, "−", F34)</f>
        <v>−</v>
      </c>
      <c r="P2" s="50" t="str">
        <f>IF(H34 = 0, "−", H34)</f>
        <v>−</v>
      </c>
      <c r="Q2" s="51"/>
      <c r="R2" s="36"/>
      <c r="S2" s="36"/>
      <c r="T2" s="72"/>
      <c r="U2" s="77"/>
    </row>
    <row r="3" spans="1:21" ht="13.5" customHeight="1" x14ac:dyDescent="0.25">
      <c r="A3" s="285"/>
      <c r="B3" s="275"/>
      <c r="C3" s="210" t="s">
        <v>38</v>
      </c>
      <c r="D3" s="288"/>
      <c r="E3" s="210" t="s">
        <v>38</v>
      </c>
      <c r="F3" s="275"/>
      <c r="G3" s="279"/>
      <c r="H3" s="280"/>
      <c r="I3" s="8"/>
      <c r="J3" s="272">
        <f>A35</f>
        <v>43832</v>
      </c>
      <c r="K3" s="273"/>
      <c r="L3" s="47" t="str">
        <f>IF(IF(D38,D38,F38) = 0, "",IF(D38,D38,F38))</f>
        <v/>
      </c>
      <c r="M3" s="48" t="str">
        <f>IFERROR(IF(LOOKUP(9E+307,F38:F67)&gt;LOOKUP(9E+307,D38:D67),LOOKUP(9E+307,F38:F67),LOOKUP(9E+307,D38:D67)),"")</f>
        <v/>
      </c>
      <c r="N3" s="49" t="str">
        <f t="shared" ref="N3:N31" si="0">IF(AND(NOT(ISERR(M3-L3)),NOT(AND(ISBLANK(M3),ISBLANK(L3)))),IF(M3&lt;0.166666667,1-L3+M3,M3-L3),"")</f>
        <v/>
      </c>
      <c r="O3" s="52" t="str">
        <f>IF(F68 = 0, "−", F68)</f>
        <v>−</v>
      </c>
      <c r="P3" s="53" t="str">
        <f>IF(H68 = 0, "−", H68)</f>
        <v>−</v>
      </c>
      <c r="Q3" s="51"/>
      <c r="R3" s="36"/>
      <c r="S3" s="36"/>
      <c r="T3" s="72"/>
      <c r="U3" s="77"/>
    </row>
    <row r="4" spans="1:21" ht="13.5" customHeight="1" x14ac:dyDescent="0.25">
      <c r="A4" s="274">
        <v>1</v>
      </c>
      <c r="B4" s="274"/>
      <c r="C4" s="211" t="s">
        <v>43</v>
      </c>
      <c r="D4" s="276"/>
      <c r="E4" s="211" t="s">
        <v>44</v>
      </c>
      <c r="F4" s="276"/>
      <c r="G4" s="278"/>
      <c r="H4" s="280"/>
      <c r="I4" s="8"/>
      <c r="J4" s="272">
        <f>A69</f>
        <v>43833</v>
      </c>
      <c r="K4" s="273"/>
      <c r="L4" s="47" t="str">
        <f>IF(IF(D72,D72,F72) = 0, "",IF(D72,D72,F72))</f>
        <v/>
      </c>
      <c r="M4" s="48" t="str">
        <f>IFERROR(IF(LOOKUP(9E+307,F72:F101)&gt;LOOKUP(9E+307,D72:D101),LOOKUP(9E+307,F72:F101),LOOKUP(9E+307,D72:D101)),"")</f>
        <v/>
      </c>
      <c r="N4" s="49" t="str">
        <f t="shared" si="0"/>
        <v/>
      </c>
      <c r="O4" s="49" t="str">
        <f>IF(F102 = 0, "−", F102)</f>
        <v>−</v>
      </c>
      <c r="P4" s="50" t="str">
        <f>IF(H102 = 0, "−", H102)</f>
        <v>−</v>
      </c>
      <c r="Q4" s="51"/>
      <c r="R4" s="36"/>
      <c r="S4" s="36"/>
      <c r="T4" s="72"/>
      <c r="U4" s="77"/>
    </row>
    <row r="5" spans="1:21" ht="13.5" customHeight="1" x14ac:dyDescent="0.25">
      <c r="A5" s="275"/>
      <c r="B5" s="275"/>
      <c r="C5" s="212" t="str">
        <f>IFERROR(VLOOKUP(C4,Списки!$E:$F,2,0)," ")</f>
        <v>SAVUSHKINA ST 128</v>
      </c>
      <c r="D5" s="277"/>
      <c r="E5" s="212" t="str">
        <f>IFERROR(VLOOKUP(E4,Списки!$E:$F,2,0)," ")</f>
        <v>LEVASHOVSKOE HWY 20</v>
      </c>
      <c r="F5" s="277"/>
      <c r="G5" s="279"/>
      <c r="H5" s="280"/>
      <c r="I5" s="8"/>
      <c r="J5" s="281">
        <f>A103</f>
        <v>43834</v>
      </c>
      <c r="K5" s="282"/>
      <c r="L5" s="47" t="str">
        <f>IF(IF(D106,D106,F106) = 0, "",IF(D106,D106,F106))</f>
        <v/>
      </c>
      <c r="M5" s="48" t="str">
        <f>IFERROR(IF(LOOKUP(9E+307,F106:F135)&gt;LOOKUP(9E+307,D106:D135),LOOKUP(9E+307,F106:F135),LOOKUP(9E+307,D106:D135)),"")</f>
        <v/>
      </c>
      <c r="N5" s="49" t="str">
        <f t="shared" si="0"/>
        <v/>
      </c>
      <c r="O5" s="52" t="str">
        <f>IF(F136 = 0, "−", F136)</f>
        <v>−</v>
      </c>
      <c r="P5" s="53" t="str">
        <f>IF(H136 = 0, "−", H136)</f>
        <v>−</v>
      </c>
      <c r="Q5" s="51"/>
      <c r="R5" s="36"/>
      <c r="S5" s="36"/>
      <c r="T5" s="72"/>
      <c r="U5" s="77"/>
    </row>
    <row r="6" spans="1:21" ht="13.5" customHeight="1" x14ac:dyDescent="0.25">
      <c r="A6" s="274">
        <v>2</v>
      </c>
      <c r="B6" s="274"/>
      <c r="C6" s="211" t="s">
        <v>44</v>
      </c>
      <c r="D6" s="276"/>
      <c r="E6" s="211"/>
      <c r="F6" s="276"/>
      <c r="G6" s="278"/>
      <c r="H6" s="280"/>
      <c r="I6" s="8"/>
      <c r="J6" s="281">
        <f>A137</f>
        <v>43835</v>
      </c>
      <c r="K6" s="282"/>
      <c r="L6" s="47" t="str">
        <f>IF(IF(D140,D140,F140) = 0, "",IF(D140,D140,F140))</f>
        <v/>
      </c>
      <c r="M6" s="48" t="str">
        <f>IFERROR(IF(LOOKUP(9E+307,F140:F169)&gt;LOOKUP(9E+307,D140:D169),LOOKUP(9E+307,F140:F169),LOOKUP(9E+307,D140:D169)),"")</f>
        <v/>
      </c>
      <c r="N6" s="49" t="str">
        <f t="shared" si="0"/>
        <v/>
      </c>
      <c r="O6" s="49" t="str">
        <f>IF(F170 = 0, "−", F170)</f>
        <v>−</v>
      </c>
      <c r="P6" s="50" t="str">
        <f>IF(H170 = 0, "−", H170)</f>
        <v>−</v>
      </c>
      <c r="Q6" s="51"/>
      <c r="R6" s="36"/>
      <c r="S6" s="36"/>
      <c r="T6" s="72"/>
      <c r="U6" s="77"/>
    </row>
    <row r="7" spans="1:21" ht="13.5" customHeight="1" x14ac:dyDescent="0.25">
      <c r="A7" s="275"/>
      <c r="B7" s="275"/>
      <c r="C7" s="212" t="str">
        <f>IFERROR(VLOOKUP(C6,Списки!$E:$F,2,0)," ")</f>
        <v>LEVASHOVSKOE HWY 20</v>
      </c>
      <c r="D7" s="277"/>
      <c r="E7" s="212" t="str">
        <f>IFERROR(VLOOKUP(E6,Списки!$E:$F,2,0)," ")</f>
        <v xml:space="preserve"> </v>
      </c>
      <c r="F7" s="277"/>
      <c r="G7" s="279"/>
      <c r="H7" s="280"/>
      <c r="I7" s="8"/>
      <c r="J7" s="272">
        <f>A171</f>
        <v>43836</v>
      </c>
      <c r="K7" s="273"/>
      <c r="L7" s="47" t="str">
        <f>IF(IF(D174,D174,F174) = 0, "",IF(D174,D174,F174))</f>
        <v/>
      </c>
      <c r="M7" s="48" t="str">
        <f>IFERROR(IF(LOOKUP(9E+307,F174:F203)&gt;LOOKUP(9E+307,D174:D203),LOOKUP(9E+307,F174:F203),LOOKUP(9E+307,D174:D203)),"")</f>
        <v/>
      </c>
      <c r="N7" s="49" t="str">
        <f t="shared" si="0"/>
        <v/>
      </c>
      <c r="O7" s="49" t="str">
        <f>IF(F204 = 0, "−", F204)</f>
        <v>−</v>
      </c>
      <c r="P7" s="50" t="str">
        <f>IF(H204 = 0, "−", H204)</f>
        <v>−</v>
      </c>
      <c r="Q7" s="51"/>
      <c r="R7" s="36"/>
      <c r="S7" s="36"/>
      <c r="T7" s="72"/>
      <c r="U7" s="77"/>
    </row>
    <row r="8" spans="1:21" ht="13.5" customHeight="1" x14ac:dyDescent="0.25">
      <c r="A8" s="274">
        <v>3</v>
      </c>
      <c r="B8" s="274"/>
      <c r="C8" s="211"/>
      <c r="D8" s="276"/>
      <c r="E8" s="211"/>
      <c r="F8" s="276"/>
      <c r="G8" s="278"/>
      <c r="H8" s="280"/>
      <c r="I8" s="8"/>
      <c r="J8" s="272">
        <f>A205</f>
        <v>43837</v>
      </c>
      <c r="K8" s="273"/>
      <c r="L8" s="47" t="str">
        <f>IF(IF(D208,D208,F208) = 0, "",IF(D208,D208,F208))</f>
        <v/>
      </c>
      <c r="M8" s="48" t="str">
        <f>IFERROR(IF(LOOKUP(9E+307,F208:F237)&gt;LOOKUP(9E+307,D208:D237),LOOKUP(9E+307,F208:F237),LOOKUP(9E+307,D208:D237)),"")</f>
        <v/>
      </c>
      <c r="N8" s="49" t="str">
        <f t="shared" si="0"/>
        <v/>
      </c>
      <c r="O8" s="49" t="str">
        <f>IF(F238 = 0, "−", F238)</f>
        <v>−</v>
      </c>
      <c r="P8" s="50" t="str">
        <f>IF(H238 = 0, "−", H238)</f>
        <v>−</v>
      </c>
      <c r="Q8" s="51"/>
      <c r="R8" s="36"/>
      <c r="S8" s="36"/>
      <c r="T8" s="72"/>
      <c r="U8" s="77"/>
    </row>
    <row r="9" spans="1:21" ht="13.5" customHeight="1" x14ac:dyDescent="0.25">
      <c r="A9" s="275"/>
      <c r="B9" s="275"/>
      <c r="C9" s="212" t="str">
        <f>IFERROR(VLOOKUP(C8,Списки!$E:$F,2,0)," ")</f>
        <v xml:space="preserve"> </v>
      </c>
      <c r="D9" s="277"/>
      <c r="E9" s="212" t="str">
        <f>IFERROR(VLOOKUP(E8,Списки!$E:$F,2,0)," ")</f>
        <v xml:space="preserve"> </v>
      </c>
      <c r="F9" s="277"/>
      <c r="G9" s="279"/>
      <c r="H9" s="280"/>
      <c r="I9" s="8"/>
      <c r="J9" s="272">
        <f>A239</f>
        <v>43838</v>
      </c>
      <c r="K9" s="273"/>
      <c r="L9" s="47" t="str">
        <f>IF(IF(D242,D242,F242) = 0, "",IF(D242,D242,F242))</f>
        <v/>
      </c>
      <c r="M9" s="48" t="str">
        <f>IFERROR(IF(LOOKUP(9E+307,F242:F271)&gt;LOOKUP(9E+307,D242:D271),LOOKUP(9E+307,F242:F271),LOOKUP(9E+307,D242:D271)),"")</f>
        <v/>
      </c>
      <c r="N9" s="49" t="str">
        <f t="shared" si="0"/>
        <v/>
      </c>
      <c r="O9" s="49" t="str">
        <f>IF(F272 = 0, "−", F272)</f>
        <v>−</v>
      </c>
      <c r="P9" s="50" t="str">
        <f>IF(H272 = 0, "−", H272)</f>
        <v>−</v>
      </c>
      <c r="Q9" s="51"/>
      <c r="R9" s="36"/>
      <c r="S9" s="36"/>
      <c r="T9" s="72"/>
      <c r="U9" s="77"/>
    </row>
    <row r="10" spans="1:21" ht="13.5" customHeight="1" x14ac:dyDescent="0.25">
      <c r="A10" s="274">
        <v>4</v>
      </c>
      <c r="B10" s="274"/>
      <c r="C10" s="211"/>
      <c r="D10" s="276"/>
      <c r="E10" s="211"/>
      <c r="F10" s="276"/>
      <c r="G10" s="278"/>
      <c r="H10" s="280"/>
      <c r="I10" s="8"/>
      <c r="J10" s="281">
        <f>A273</f>
        <v>43839</v>
      </c>
      <c r="K10" s="282"/>
      <c r="L10" s="47">
        <v>0.31944444444444448</v>
      </c>
      <c r="M10" s="48">
        <f>IFERROR(IF(LOOKUP(9E+307,F276:F305)&gt;LOOKUP(9E+307,D276:D305),LOOKUP(9E+307,F276:F305),LOOKUP(9E+307,D276:D305)),"")</f>
        <v>0.70833333333333337</v>
      </c>
      <c r="N10" s="49">
        <f t="shared" si="0"/>
        <v>0.3888888888888889</v>
      </c>
      <c r="O10" s="49">
        <f>IF(F306 = 0, "−", F306)</f>
        <v>9.0277777777777776E-2</v>
      </c>
      <c r="P10" s="50">
        <f>IF(H306 = 0, "−", H306)</f>
        <v>182</v>
      </c>
      <c r="Q10" s="51"/>
      <c r="R10" s="36"/>
      <c r="S10" s="36"/>
      <c r="T10" s="72"/>
      <c r="U10" s="77"/>
    </row>
    <row r="11" spans="1:21" ht="13.5" customHeight="1" x14ac:dyDescent="0.25">
      <c r="A11" s="275"/>
      <c r="B11" s="275"/>
      <c r="C11" s="212" t="str">
        <f>IFERROR(VLOOKUP(C10,Списки!$E:$F,2,0)," ")</f>
        <v xml:space="preserve"> </v>
      </c>
      <c r="D11" s="277"/>
      <c r="E11" s="212" t="str">
        <f>IFERROR(VLOOKUP(E10,Списки!$E:$F,2,0)," ")</f>
        <v xml:space="preserve"> </v>
      </c>
      <c r="F11" s="277"/>
      <c r="G11" s="279"/>
      <c r="H11" s="280"/>
      <c r="I11" s="8"/>
      <c r="J11" s="281">
        <f>A307</f>
        <v>43840</v>
      </c>
      <c r="K11" s="282"/>
      <c r="L11" s="47">
        <f>IF(IF(D310,D310,F310) = 0, "",IF(D310,D310,F310))</f>
        <v>0.2638888888888889</v>
      </c>
      <c r="M11" s="48">
        <f>IFERROR(IF(LOOKUP(9E+307,F310:F339)&gt;LOOKUP(9E+307,D310:D339),LOOKUP(9E+307,F310:F339),LOOKUP(9E+307,D310:D339)),"")</f>
        <v>0.82291666666666663</v>
      </c>
      <c r="N11" s="49">
        <f t="shared" si="0"/>
        <v>0.55902777777777768</v>
      </c>
      <c r="O11" s="49">
        <f>IF(F340 = 0, "−", F340)</f>
        <v>0.16319444444444436</v>
      </c>
      <c r="P11" s="50">
        <f>IF(H340 = 0, "−", H340)</f>
        <v>229</v>
      </c>
      <c r="Q11" s="51"/>
      <c r="R11" s="36"/>
      <c r="S11" s="36"/>
      <c r="T11" s="72"/>
      <c r="U11" s="77"/>
    </row>
    <row r="12" spans="1:21" ht="13.5" customHeight="1" x14ac:dyDescent="0.25">
      <c r="A12" s="274">
        <v>5</v>
      </c>
      <c r="B12" s="274"/>
      <c r="C12" s="211"/>
      <c r="D12" s="276"/>
      <c r="E12" s="213"/>
      <c r="F12" s="276"/>
      <c r="G12" s="278"/>
      <c r="H12" s="280"/>
      <c r="I12" s="8"/>
      <c r="J12" s="281">
        <f>A341</f>
        <v>43841</v>
      </c>
      <c r="K12" s="282"/>
      <c r="L12" s="47" t="str">
        <f>IF(IF(D344,D344,F344) = 0, "",IF(D344,D344,F344))</f>
        <v/>
      </c>
      <c r="M12" s="48" t="str">
        <f>IFERROR(IF(LOOKUP(9E+307,F344:F373)&gt;LOOKUP(9E+307,D344:D373),LOOKUP(9E+307,F344:F373),LOOKUP(9E+307,D344:D373)),"")</f>
        <v/>
      </c>
      <c r="N12" s="49" t="str">
        <f t="shared" si="0"/>
        <v/>
      </c>
      <c r="O12" s="49" t="str">
        <f>IF(F374 = 0, "−", F374)</f>
        <v>−</v>
      </c>
      <c r="P12" s="50" t="str">
        <f>IF(H374 = 0, "−", H374)</f>
        <v>−</v>
      </c>
      <c r="Q12" s="51"/>
      <c r="R12" s="158"/>
      <c r="S12" s="36"/>
      <c r="T12" s="72"/>
      <c r="U12" s="77"/>
    </row>
    <row r="13" spans="1:21" ht="13.5" customHeight="1" x14ac:dyDescent="0.25">
      <c r="A13" s="275"/>
      <c r="B13" s="275"/>
      <c r="C13" s="212" t="str">
        <f>IFERROR(VLOOKUP(C12,Списки!$E:$F,2,0)," ")</f>
        <v xml:space="preserve"> </v>
      </c>
      <c r="D13" s="277"/>
      <c r="E13" s="212" t="str">
        <f>IFERROR(VLOOKUP(E12,Списки!$E:$F,2,0)," ")</f>
        <v xml:space="preserve"> </v>
      </c>
      <c r="F13" s="277"/>
      <c r="G13" s="279"/>
      <c r="H13" s="280"/>
      <c r="I13" s="8"/>
      <c r="J13" s="281">
        <f>A375</f>
        <v>43842</v>
      </c>
      <c r="K13" s="282"/>
      <c r="L13" s="47" t="str">
        <f>IF(IF(D378,D378,F378) = 0, "",IF(D378,D378,F378))</f>
        <v/>
      </c>
      <c r="M13" s="48" t="str">
        <f>IFERROR(IF(LOOKUP(9E+307,F378:F407)&gt;LOOKUP(9E+307,D378:D407),LOOKUP(9E+307,F378:F407),LOOKUP(9E+307,D378:D407)),"")</f>
        <v/>
      </c>
      <c r="N13" s="49" t="str">
        <f t="shared" si="0"/>
        <v/>
      </c>
      <c r="O13" s="49" t="str">
        <f>IF(F408 = 0, "−", F408)</f>
        <v>−</v>
      </c>
      <c r="P13" s="50" t="str">
        <f>IF(H408 = 0, "−", H408)</f>
        <v>−</v>
      </c>
      <c r="Q13" s="51"/>
      <c r="R13" s="157" t="s">
        <v>290</v>
      </c>
      <c r="S13" s="269">
        <f>IF(S15 = 0, "", S15 - S14)</f>
        <v>3094</v>
      </c>
      <c r="T13" s="72"/>
      <c r="U13" s="77"/>
    </row>
    <row r="14" spans="1:21" ht="13.5" customHeight="1" x14ac:dyDescent="0.25">
      <c r="A14" s="274">
        <v>6</v>
      </c>
      <c r="B14" s="274"/>
      <c r="C14" s="211"/>
      <c r="D14" s="276"/>
      <c r="E14" s="211"/>
      <c r="F14" s="276"/>
      <c r="G14" s="278"/>
      <c r="H14" s="280"/>
      <c r="I14" s="8"/>
      <c r="J14" s="281">
        <f>A409</f>
        <v>43843</v>
      </c>
      <c r="K14" s="282"/>
      <c r="L14" s="47">
        <f>IF(IF(D412,D412,F412) = 0, "",IF(D412,D412,F412))</f>
        <v>0.33333333333333331</v>
      </c>
      <c r="M14" s="48">
        <f>IFERROR(IF(LOOKUP(9E+307,F412:F441)&gt;LOOKUP(9E+307,D412:D441),LOOKUP(9E+307,F412:F441),LOOKUP(9E+307,D412:D441)),"")</f>
        <v>0.78819444444444453</v>
      </c>
      <c r="N14" s="49">
        <f t="shared" si="0"/>
        <v>0.45486111111111122</v>
      </c>
      <c r="O14" s="49">
        <f>IF(F442 = 0, "−", F442)</f>
        <v>7.986111111111116E-2</v>
      </c>
      <c r="P14" s="50">
        <f>IF(H442 = 0, "−", H442)</f>
        <v>188</v>
      </c>
      <c r="Q14" s="51"/>
      <c r="R14" s="157" t="s">
        <v>291</v>
      </c>
      <c r="S14" s="269">
        <v>38189</v>
      </c>
      <c r="T14" s="72"/>
      <c r="U14" s="77"/>
    </row>
    <row r="15" spans="1:21" ht="13.5" customHeight="1" x14ac:dyDescent="0.25">
      <c r="A15" s="275"/>
      <c r="B15" s="275"/>
      <c r="C15" s="212" t="str">
        <f>IFERROR(VLOOKUP(C14,Списки!$E:$F,2,0)," ")</f>
        <v xml:space="preserve"> </v>
      </c>
      <c r="D15" s="277"/>
      <c r="E15" s="212" t="str">
        <f>IFERROR(VLOOKUP(E14,Списки!$E:$F,2,0)," ")</f>
        <v xml:space="preserve"> </v>
      </c>
      <c r="F15" s="277"/>
      <c r="G15" s="279"/>
      <c r="H15" s="280"/>
      <c r="I15" s="8"/>
      <c r="J15" s="281">
        <f>A443</f>
        <v>43844</v>
      </c>
      <c r="K15" s="282"/>
      <c r="L15" s="47">
        <f>IF(IF(D446,D446,F446) = 0, "",IF(D446,D446,F446))</f>
        <v>0.2638888888888889</v>
      </c>
      <c r="M15" s="48">
        <f>IFERROR(IF(LOOKUP(9E+307,F446:F475)&gt;LOOKUP(9E+307,D446:D475),LOOKUP(9E+307,F446:F475),LOOKUP(9E+307,D446:D475)),"")</f>
        <v>0.77083333333333337</v>
      </c>
      <c r="N15" s="49">
        <f t="shared" si="0"/>
        <v>0.50694444444444442</v>
      </c>
      <c r="O15" s="49">
        <f>IF(F476 = 0, "−", F476)</f>
        <v>0.1111111111111111</v>
      </c>
      <c r="P15" s="50">
        <f>IF(H476 = 0, "−", H476)</f>
        <v>147</v>
      </c>
      <c r="Q15" s="51"/>
      <c r="R15" s="157" t="s">
        <v>292</v>
      </c>
      <c r="S15" s="269">
        <v>41283</v>
      </c>
      <c r="T15" s="72"/>
      <c r="U15" s="77"/>
    </row>
    <row r="16" spans="1:21" ht="13.5" customHeight="1" x14ac:dyDescent="0.25">
      <c r="A16" s="274">
        <v>7</v>
      </c>
      <c r="B16" s="274"/>
      <c r="C16" s="211"/>
      <c r="D16" s="276"/>
      <c r="E16" s="211"/>
      <c r="F16" s="276"/>
      <c r="G16" s="278"/>
      <c r="H16" s="280"/>
      <c r="I16" s="8"/>
      <c r="J16" s="281">
        <f>A477</f>
        <v>43845</v>
      </c>
      <c r="K16" s="282"/>
      <c r="L16" s="47">
        <f>IF(IF(D480,D480,F480) = 0, "",IF(D480,D480,F480))</f>
        <v>0.2638888888888889</v>
      </c>
      <c r="M16" s="48">
        <f>IFERROR(IF(LOOKUP(9E+307,F480:F509)&gt;LOOKUP(9E+307,D480:D509),LOOKUP(9E+307,F480:F509),LOOKUP(9E+307,D480:D509)),"")</f>
        <v>0.75</v>
      </c>
      <c r="N16" s="49">
        <f t="shared" si="0"/>
        <v>0.4861111111111111</v>
      </c>
      <c r="O16" s="49">
        <f>IF(F510 = 0, "−", F510)</f>
        <v>9.0277777777777735E-2</v>
      </c>
      <c r="P16" s="50">
        <f>IF(H510 = 0, "−", H510)</f>
        <v>127</v>
      </c>
      <c r="Q16" s="51"/>
      <c r="R16" s="36"/>
      <c r="S16" s="36"/>
      <c r="T16" s="72"/>
      <c r="U16" s="77"/>
    </row>
    <row r="17" spans="1:21" ht="13.5" customHeight="1" x14ac:dyDescent="0.25">
      <c r="A17" s="275"/>
      <c r="B17" s="275"/>
      <c r="C17" s="212" t="str">
        <f>IFERROR(VLOOKUP(C16,Списки!$E:$F,2,0)," ")</f>
        <v xml:space="preserve"> </v>
      </c>
      <c r="D17" s="277"/>
      <c r="E17" s="212" t="str">
        <f>IFERROR(VLOOKUP(E16,Списки!$E:$F,2,0)," ")</f>
        <v xml:space="preserve"> </v>
      </c>
      <c r="F17" s="277"/>
      <c r="G17" s="279"/>
      <c r="H17" s="280"/>
      <c r="I17" s="8"/>
      <c r="J17" s="281">
        <f>A511</f>
        <v>43846</v>
      </c>
      <c r="K17" s="282"/>
      <c r="L17" s="47">
        <f>IF(IF(D514,D514,F514) = 0, "",IF(D514,D514,F514))</f>
        <v>0.2638888888888889</v>
      </c>
      <c r="M17" s="48">
        <f>IFERROR(IF(LOOKUP(9E+307,F514:F543)&gt;LOOKUP(9E+307,D514:D543),LOOKUP(9E+307,F514:F543),LOOKUP(9E+307,D514:D543)),"")</f>
        <v>0.70833333333333337</v>
      </c>
      <c r="N17" s="49">
        <f t="shared" si="0"/>
        <v>0.44444444444444448</v>
      </c>
      <c r="O17" s="49">
        <f>IF(F544 = 0, "−", F544)</f>
        <v>4.8611111111111105E-2</v>
      </c>
      <c r="P17" s="50">
        <f>IF(H544 = 0, "−", H544)</f>
        <v>103</v>
      </c>
      <c r="Q17" s="51"/>
      <c r="R17" s="54" t="s">
        <v>30</v>
      </c>
      <c r="S17" s="55">
        <f>O33</f>
        <v>1.0486111111111107</v>
      </c>
      <c r="T17" s="72"/>
      <c r="U17" s="77"/>
    </row>
    <row r="18" spans="1:21" ht="13.5" customHeight="1" x14ac:dyDescent="0.25">
      <c r="A18" s="274">
        <v>8</v>
      </c>
      <c r="B18" s="274"/>
      <c r="C18" s="211"/>
      <c r="D18" s="276"/>
      <c r="E18" s="211"/>
      <c r="F18" s="276"/>
      <c r="G18" s="278"/>
      <c r="H18" s="280"/>
      <c r="I18" s="8"/>
      <c r="J18" s="281">
        <f>A545</f>
        <v>43847</v>
      </c>
      <c r="K18" s="282"/>
      <c r="L18" s="47">
        <f>IF(IF(D548,D548,F548) = 0, "",IF(D548,D548,F548))</f>
        <v>0.2638888888888889</v>
      </c>
      <c r="M18" s="48">
        <f>IFERROR(IF(LOOKUP(9E+307,F548:F577)&gt;LOOKUP(9E+307,D548:D577),LOOKUP(9E+307,F548:F577),LOOKUP(9E+307,D548:D577)),"")</f>
        <v>0.75694444444444453</v>
      </c>
      <c r="N18" s="49">
        <f t="shared" si="0"/>
        <v>0.49305555555555564</v>
      </c>
      <c r="O18" s="49">
        <f>IF(F578 = 0, "−", F578)</f>
        <v>9.7222222222222265E-2</v>
      </c>
      <c r="P18" s="50">
        <f>IF(H578 = 0, "−", H578)</f>
        <v>146</v>
      </c>
      <c r="Q18" s="51"/>
      <c r="R18" s="56" t="s">
        <v>94</v>
      </c>
      <c r="S18" s="57">
        <f>S17*24*440</f>
        <v>11073.333333333328</v>
      </c>
      <c r="T18" s="72"/>
      <c r="U18" s="77"/>
    </row>
    <row r="19" spans="1:21" ht="13.5" customHeight="1" x14ac:dyDescent="0.25">
      <c r="A19" s="275"/>
      <c r="B19" s="275"/>
      <c r="C19" s="212" t="str">
        <f>IFERROR(VLOOKUP(C18,Списки!$E:$F,2,0)," ")</f>
        <v xml:space="preserve"> </v>
      </c>
      <c r="D19" s="277"/>
      <c r="E19" s="212" t="str">
        <f>IFERROR(VLOOKUP(E18,Списки!$E:$F,2,0)," ")</f>
        <v xml:space="preserve"> </v>
      </c>
      <c r="F19" s="277"/>
      <c r="G19" s="279"/>
      <c r="H19" s="280"/>
      <c r="I19" s="8"/>
      <c r="J19" s="281">
        <f>A579</f>
        <v>43848</v>
      </c>
      <c r="K19" s="282"/>
      <c r="L19" s="47" t="str">
        <f>IF(IF(D582,D582,F582) = 0, "",IF(D582,D582,F582))</f>
        <v/>
      </c>
      <c r="M19" s="48" t="str">
        <f>IFERROR(IF(LOOKUP(9E+307,F582:F611)&gt;LOOKUP(9E+307,D582:D611),LOOKUP(9E+307,F582:F611),LOOKUP(9E+307,D582:D611)),"")</f>
        <v/>
      </c>
      <c r="N19" s="49" t="str">
        <f t="shared" si="0"/>
        <v/>
      </c>
      <c r="O19" s="49" t="str">
        <f>IF(F612 = 0, "−", F612)</f>
        <v>−</v>
      </c>
      <c r="P19" s="50" t="str">
        <f>IF(H612 = 0, "−", H612)</f>
        <v>−</v>
      </c>
      <c r="Q19" s="51"/>
      <c r="R19" s="58"/>
      <c r="S19" s="59"/>
      <c r="T19" s="72"/>
      <c r="U19" s="77"/>
    </row>
    <row r="20" spans="1:21" ht="13.5" customHeight="1" x14ac:dyDescent="0.25">
      <c r="A20" s="274">
        <v>9</v>
      </c>
      <c r="B20" s="274"/>
      <c r="C20" s="211"/>
      <c r="D20" s="276"/>
      <c r="E20" s="211"/>
      <c r="F20" s="276"/>
      <c r="G20" s="278"/>
      <c r="H20" s="280"/>
      <c r="I20" s="8"/>
      <c r="J20" s="281">
        <f>A613</f>
        <v>43849</v>
      </c>
      <c r="K20" s="282"/>
      <c r="L20" s="47" t="str">
        <f>IF(IF(D616,D616,F616) = 0, "",IF(D616,D616,F616))</f>
        <v/>
      </c>
      <c r="M20" s="48" t="str">
        <f>IFERROR(IF(LOOKUP(9E+307,F616:F645)&gt;LOOKUP(9E+307,D616:D645),LOOKUP(9E+307,F616:F645),LOOKUP(9E+307,D616:D645)),"")</f>
        <v/>
      </c>
      <c r="N20" s="49" t="str">
        <f t="shared" si="0"/>
        <v/>
      </c>
      <c r="O20" s="49" t="str">
        <f>IF(F646 = 0, "−", F646)</f>
        <v>−</v>
      </c>
      <c r="P20" s="50" t="str">
        <f>IF(H646 = 0, "−", H646)</f>
        <v>−</v>
      </c>
      <c r="Q20" s="51"/>
      <c r="R20" s="54" t="s">
        <v>96</v>
      </c>
      <c r="S20" s="269">
        <f>P33</f>
        <v>2521</v>
      </c>
      <c r="T20" s="72"/>
      <c r="U20" s="77"/>
    </row>
    <row r="21" spans="1:21" ht="13.5" customHeight="1" x14ac:dyDescent="0.25">
      <c r="A21" s="275"/>
      <c r="B21" s="275"/>
      <c r="C21" s="212" t="str">
        <f>IFERROR(VLOOKUP(C20,Списки!$E:$F,2,0)," ")</f>
        <v xml:space="preserve"> </v>
      </c>
      <c r="D21" s="277"/>
      <c r="E21" s="212" t="str">
        <f>IFERROR(VLOOKUP(E20,Списки!$E:$F,2,0)," ")</f>
        <v xml:space="preserve"> </v>
      </c>
      <c r="F21" s="277"/>
      <c r="G21" s="279"/>
      <c r="H21" s="280"/>
      <c r="I21" s="8"/>
      <c r="J21" s="281">
        <f>A647</f>
        <v>43850</v>
      </c>
      <c r="K21" s="282"/>
      <c r="L21" s="47">
        <f>IF(IF(D650,D650,F650) = 0, "",IF(D650,D650,F650))</f>
        <v>0.28472222222222221</v>
      </c>
      <c r="M21" s="48">
        <f>IFERROR(IF(LOOKUP(9E+307,F650:F679)&gt;LOOKUP(9E+307,D650:D679),LOOKUP(9E+307,F650:F679),LOOKUP(9E+307,D650:D679)),"")</f>
        <v>0.70833333333333337</v>
      </c>
      <c r="N21" s="49">
        <f t="shared" si="0"/>
        <v>0.42361111111111116</v>
      </c>
      <c r="O21" s="49" t="str">
        <f>IF(F680 = 0, "−", F680)</f>
        <v>−</v>
      </c>
      <c r="P21" s="50">
        <f>IF(H680 = 0, "−", H680)</f>
        <v>126</v>
      </c>
      <c r="Q21" s="51"/>
      <c r="R21" s="54" t="s">
        <v>95</v>
      </c>
      <c r="S21" s="61" t="s">
        <v>293</v>
      </c>
      <c r="T21" s="72"/>
      <c r="U21" s="77"/>
    </row>
    <row r="22" spans="1:21" ht="13.5" customHeight="1" x14ac:dyDescent="0.25">
      <c r="A22" s="274">
        <v>10</v>
      </c>
      <c r="B22" s="274"/>
      <c r="C22" s="211"/>
      <c r="D22" s="276"/>
      <c r="E22" s="211"/>
      <c r="F22" s="276"/>
      <c r="G22" s="278"/>
      <c r="H22" s="280"/>
      <c r="I22" s="8"/>
      <c r="J22" s="281">
        <f>A681</f>
        <v>43851</v>
      </c>
      <c r="K22" s="282"/>
      <c r="L22" s="47">
        <f>IF(IF(D684,D684,F684) = 0, "",IF(D684,D684,F684))</f>
        <v>0.375</v>
      </c>
      <c r="M22" s="48">
        <f>IFERROR(IF(LOOKUP(9E+307,F684:F713)&gt;LOOKUP(9E+307,D684:D713),LOOKUP(9E+307,F684:F713),LOOKUP(9E+307,D684:D713)),"")</f>
        <v>0.69444444444444453</v>
      </c>
      <c r="N22" s="49">
        <f t="shared" si="0"/>
        <v>0.31944444444444453</v>
      </c>
      <c r="O22" s="49" t="str">
        <f>IF(F714 = 0, "−", F714)</f>
        <v>−</v>
      </c>
      <c r="P22" s="50">
        <f>IF(H714 = 0, "−", H714)</f>
        <v>157</v>
      </c>
      <c r="Q22" s="51"/>
      <c r="R22" s="56" t="str">
        <f>TEXT(S20,0)&amp;"/8.77*47"</f>
        <v>2521/8.77*47</v>
      </c>
      <c r="S22" s="57">
        <f>S20/8.77*47</f>
        <v>13510.490307867733</v>
      </c>
      <c r="T22" s="72"/>
      <c r="U22" s="77"/>
    </row>
    <row r="23" spans="1:21" ht="13.5" customHeight="1" x14ac:dyDescent="0.25">
      <c r="A23" s="275"/>
      <c r="B23" s="275"/>
      <c r="C23" s="212" t="str">
        <f>IFERROR(VLOOKUP(C22,Списки!$E:$F,2,0)," ")</f>
        <v xml:space="preserve"> </v>
      </c>
      <c r="D23" s="277"/>
      <c r="E23" s="212" t="str">
        <f>IFERROR(VLOOKUP(E22,Списки!$E:$F,2,0)," ")</f>
        <v xml:space="preserve"> </v>
      </c>
      <c r="F23" s="277"/>
      <c r="G23" s="279"/>
      <c r="H23" s="280"/>
      <c r="I23" s="8"/>
      <c r="J23" s="281">
        <f>A715</f>
        <v>43852</v>
      </c>
      <c r="K23" s="282"/>
      <c r="L23" s="47">
        <f>IF(IF(D718,D718,F718) = 0, "",IF(D718,D718,F718))</f>
        <v>0.39583333333333331</v>
      </c>
      <c r="M23" s="48">
        <f>IFERROR(IF(LOOKUP(9E+307,F718:F747)&gt;LOOKUP(9E+307,D718:D747),LOOKUP(9E+307,F718:F747),LOOKUP(9E+307,D718:D747)),"")</f>
        <v>0.70833333333333337</v>
      </c>
      <c r="N23" s="49">
        <f t="shared" si="0"/>
        <v>0.31250000000000006</v>
      </c>
      <c r="O23" s="49" t="str">
        <f>IF(F748 = 0, "−", F748)</f>
        <v>−</v>
      </c>
      <c r="P23" s="50">
        <f>IF(H748 = 0, "−", H748)</f>
        <v>197</v>
      </c>
      <c r="Q23" s="51"/>
      <c r="R23" s="62"/>
      <c r="S23" s="63"/>
      <c r="T23" s="72"/>
      <c r="U23" s="77"/>
    </row>
    <row r="24" spans="1:21" ht="13.5" customHeight="1" x14ac:dyDescent="0.25">
      <c r="A24" s="274">
        <v>11</v>
      </c>
      <c r="B24" s="274"/>
      <c r="C24" s="211"/>
      <c r="D24" s="276"/>
      <c r="E24" s="211"/>
      <c r="F24" s="276"/>
      <c r="G24" s="278"/>
      <c r="H24" s="280"/>
      <c r="I24" s="8"/>
      <c r="J24" s="281">
        <f>A749</f>
        <v>43853</v>
      </c>
      <c r="K24" s="282"/>
      <c r="L24" s="47">
        <f>IF(IF(D752,D752,F752) = 0, "",IF(D752,D752,F752))</f>
        <v>0.375</v>
      </c>
      <c r="M24" s="48">
        <f>IFERROR(IF(LOOKUP(9E+307,F752:F781)&gt;LOOKUP(9E+307,D752:D781),LOOKUP(9E+307,F752:F781),LOOKUP(9E+307,D752:D781)),"")</f>
        <v>0.79166666666666663</v>
      </c>
      <c r="N24" s="49">
        <f t="shared" si="0"/>
        <v>0.41666666666666663</v>
      </c>
      <c r="O24" s="49">
        <f>IF(F782 = 0, "−", F782)</f>
        <v>8.3333333333333259E-2</v>
      </c>
      <c r="P24" s="50">
        <f>IF(H782 = 0, "−", H782)</f>
        <v>114</v>
      </c>
      <c r="Q24" s="51"/>
      <c r="R24" s="64" t="s">
        <v>97</v>
      </c>
      <c r="S24" s="57">
        <v>5000</v>
      </c>
      <c r="T24" s="72"/>
      <c r="U24" s="77"/>
    </row>
    <row r="25" spans="1:21" ht="13.5" customHeight="1" x14ac:dyDescent="0.25">
      <c r="A25" s="275"/>
      <c r="B25" s="275"/>
      <c r="C25" s="212" t="str">
        <f>IFERROR(VLOOKUP(C24,Списки!$E:$F,2,0)," ")</f>
        <v xml:space="preserve"> </v>
      </c>
      <c r="D25" s="277"/>
      <c r="E25" s="212" t="str">
        <f>IFERROR(VLOOKUP(E24,Списки!$E:$F,2,0)," ")</f>
        <v xml:space="preserve"> </v>
      </c>
      <c r="F25" s="277"/>
      <c r="G25" s="279"/>
      <c r="H25" s="280"/>
      <c r="I25" s="8"/>
      <c r="J25" s="281">
        <f>A783</f>
        <v>43854</v>
      </c>
      <c r="K25" s="282"/>
      <c r="L25" s="47">
        <f>IF(IF(D786,D786,F786) = 0, "",IF(D786,D786,F786))</f>
        <v>0.375</v>
      </c>
      <c r="M25" s="48">
        <f>IFERROR(IF(LOOKUP(9E+307,F786:F815)&gt;LOOKUP(9E+307,D786:D815),LOOKUP(9E+307,F786:F815),LOOKUP(9E+307,D786:D815)),"")</f>
        <v>0.76388888888888884</v>
      </c>
      <c r="N25" s="49">
        <f t="shared" si="0"/>
        <v>0.38888888888888884</v>
      </c>
      <c r="O25" s="49">
        <f>IF(F816 = 0, "−", F816)</f>
        <v>5.5555555555555469E-2</v>
      </c>
      <c r="P25" s="50">
        <f>IF(H816 = 0, "−", H816)</f>
        <v>82</v>
      </c>
      <c r="Q25" s="51"/>
      <c r="R25" s="64" t="s">
        <v>98</v>
      </c>
      <c r="S25" s="33">
        <v>300</v>
      </c>
      <c r="T25" s="72"/>
      <c r="U25" s="77"/>
    </row>
    <row r="26" spans="1:21" ht="13.5" customHeight="1" x14ac:dyDescent="0.25">
      <c r="A26" s="274">
        <v>12</v>
      </c>
      <c r="B26" s="274"/>
      <c r="C26" s="211"/>
      <c r="D26" s="276"/>
      <c r="E26" s="211"/>
      <c r="F26" s="276"/>
      <c r="G26" s="278"/>
      <c r="H26" s="280"/>
      <c r="I26" s="8"/>
      <c r="J26" s="281">
        <f>A817</f>
        <v>43855</v>
      </c>
      <c r="K26" s="282"/>
      <c r="L26" s="47" t="str">
        <f>IF(IF(D820,D820,F820) = 0, "",IF(D820,D820,F820))</f>
        <v/>
      </c>
      <c r="M26" s="48" t="str">
        <f>IFERROR(IF(LOOKUP(9E+307,F820:F849)&gt;LOOKUP(9E+307,D820:D849),LOOKUP(9E+307,F820:F849),LOOKUP(9E+307,D820:D849)),"")</f>
        <v/>
      </c>
      <c r="N26" s="49" t="str">
        <f t="shared" si="0"/>
        <v/>
      </c>
      <c r="O26" s="49" t="str">
        <f>IF(F850 = 0, "−", F850)</f>
        <v>−</v>
      </c>
      <c r="P26" s="50" t="str">
        <f>IF(H850 = 0, "−", H850)</f>
        <v>−</v>
      </c>
      <c r="Q26" s="51"/>
      <c r="R26" s="64" t="s">
        <v>99</v>
      </c>
      <c r="S26" s="33">
        <v>0</v>
      </c>
      <c r="T26" s="72"/>
      <c r="U26" s="77"/>
    </row>
    <row r="27" spans="1:21" ht="13.5" customHeight="1" x14ac:dyDescent="0.25">
      <c r="A27" s="275"/>
      <c r="B27" s="275"/>
      <c r="C27" s="212" t="str">
        <f>IFERROR(VLOOKUP(C26,Списки!$E:$F,2,0)," ")</f>
        <v xml:space="preserve"> </v>
      </c>
      <c r="D27" s="277"/>
      <c r="E27" s="212" t="str">
        <f>IFERROR(VLOOKUP(E26,Списки!$E:$F,2,0)," ")</f>
        <v xml:space="preserve"> </v>
      </c>
      <c r="F27" s="277"/>
      <c r="G27" s="279"/>
      <c r="H27" s="280"/>
      <c r="I27" s="8"/>
      <c r="J27" s="281">
        <f>A851</f>
        <v>43856</v>
      </c>
      <c r="K27" s="282"/>
      <c r="L27" s="47" t="str">
        <f>IF(IF(D854,D854,F854) = 0, "",IF(D854,D854,F854))</f>
        <v/>
      </c>
      <c r="M27" s="48" t="str">
        <f>IFERROR(IF(LOOKUP(9E+307,F854:F883)&gt;LOOKUP(9E+307,D854:D883),LOOKUP(9E+307,F854:F883),LOOKUP(9E+307,D854:D883)),"")</f>
        <v/>
      </c>
      <c r="N27" s="49" t="str">
        <f t="shared" si="0"/>
        <v/>
      </c>
      <c r="O27" s="49" t="str">
        <f>IF(F884 = 0, "−", F884)</f>
        <v>−</v>
      </c>
      <c r="P27" s="50" t="str">
        <f>IF(H884 = 0, "−", H884)</f>
        <v>−</v>
      </c>
      <c r="Q27" s="51"/>
      <c r="R27" s="64" t="s">
        <v>100</v>
      </c>
      <c r="S27" s="33">
        <v>592</v>
      </c>
      <c r="T27" s="72"/>
      <c r="U27" s="77"/>
    </row>
    <row r="28" spans="1:21" ht="13.5" customHeight="1" x14ac:dyDescent="0.25">
      <c r="A28" s="274">
        <v>13</v>
      </c>
      <c r="B28" s="274"/>
      <c r="C28" s="211"/>
      <c r="D28" s="276"/>
      <c r="E28" s="211"/>
      <c r="F28" s="276"/>
      <c r="G28" s="278"/>
      <c r="H28" s="280"/>
      <c r="I28" s="8"/>
      <c r="J28" s="281">
        <f>A885</f>
        <v>43857</v>
      </c>
      <c r="K28" s="282"/>
      <c r="L28" s="47">
        <f>IF(IF(D888,D888,F888) = 0, "",IF(D888,D888,F888))</f>
        <v>0.375</v>
      </c>
      <c r="M28" s="48">
        <f>IFERROR(IF(LOOKUP(9E+307,F888:F917)&gt;LOOKUP(9E+307,D888:D917),LOOKUP(9E+307,F888:F917),LOOKUP(9E+307,D888:D917)),"")</f>
        <v>0.79166666666666663</v>
      </c>
      <c r="N28" s="49">
        <f t="shared" si="0"/>
        <v>0.41666666666666663</v>
      </c>
      <c r="O28" s="49">
        <f>IF(F918 = 0, "−", F918)</f>
        <v>8.3333333333333259E-2</v>
      </c>
      <c r="P28" s="50">
        <f>IF(H918 = 0, "−", H918)</f>
        <v>160</v>
      </c>
      <c r="Q28" s="51"/>
      <c r="R28" s="64" t="s">
        <v>101</v>
      </c>
      <c r="S28" s="57">
        <f>SUM(S24:S27)</f>
        <v>5892</v>
      </c>
      <c r="T28" s="72"/>
      <c r="U28" s="77"/>
    </row>
    <row r="29" spans="1:21" ht="13.5" customHeight="1" x14ac:dyDescent="0.25">
      <c r="A29" s="275"/>
      <c r="B29" s="275"/>
      <c r="C29" s="212" t="str">
        <f>IFERROR(VLOOKUP(C28,Списки!$E:$F,2,0)," ")</f>
        <v xml:space="preserve"> </v>
      </c>
      <c r="D29" s="277"/>
      <c r="E29" s="212" t="str">
        <f>IFERROR(VLOOKUP(E28,Списки!$E:$F,2,0)," ")</f>
        <v xml:space="preserve"> </v>
      </c>
      <c r="F29" s="277"/>
      <c r="G29" s="279"/>
      <c r="H29" s="280"/>
      <c r="I29" s="8"/>
      <c r="J29" s="281">
        <f>A919</f>
        <v>43858</v>
      </c>
      <c r="K29" s="282"/>
      <c r="L29" s="47">
        <f>IF(IF(D922,D922,F922) = 0, "",IF(D922,D922,F922))</f>
        <v>0.375</v>
      </c>
      <c r="M29" s="48">
        <f>IFERROR(IF(LOOKUP(9E+307,F922:F951)&gt;LOOKUP(9E+307,D922:D951),LOOKUP(9E+307,F922:F951),LOOKUP(9E+307,D922:D951)),"")</f>
        <v>0.70833333333333337</v>
      </c>
      <c r="N29" s="49">
        <f t="shared" si="0"/>
        <v>0.33333333333333337</v>
      </c>
      <c r="O29" s="49" t="str">
        <f>IF(F952 = 0, "−", F952)</f>
        <v>−</v>
      </c>
      <c r="P29" s="50">
        <f>IF(H952 = 0, "−", H952)</f>
        <v>145</v>
      </c>
      <c r="Q29" s="51"/>
      <c r="R29" s="65"/>
      <c r="S29" s="66"/>
      <c r="T29" s="72"/>
      <c r="U29" s="77"/>
    </row>
    <row r="30" spans="1:21" ht="13.5" customHeight="1" x14ac:dyDescent="0.25">
      <c r="A30" s="274">
        <v>14</v>
      </c>
      <c r="B30" s="274"/>
      <c r="C30" s="211"/>
      <c r="D30" s="276"/>
      <c r="E30" s="211"/>
      <c r="F30" s="276"/>
      <c r="G30" s="278"/>
      <c r="H30" s="280"/>
      <c r="I30" s="8"/>
      <c r="J30" s="281">
        <f>IF(MONTH(A953)=DAY(J1),A953,"")</f>
        <v>43859</v>
      </c>
      <c r="K30" s="282"/>
      <c r="L30" s="47">
        <f>IF(IF(D956,D956,F956) = 0, "",IF(D956,D956,F956))</f>
        <v>0.375</v>
      </c>
      <c r="M30" s="48">
        <f>IFERROR(IF(LOOKUP(9E+307,F956:F985)&gt;LOOKUP(9E+307,D956:D985),LOOKUP(9E+307,F956:F985),LOOKUP(9E+307,D956:D985)),"")</f>
        <v>0.77777777777777779</v>
      </c>
      <c r="N30" s="49">
        <f t="shared" si="0"/>
        <v>0.40277777777777779</v>
      </c>
      <c r="O30" s="49">
        <f>IF(MONTH(A953)=DAY(J1), IF(F986= 0, "−", F986),"")</f>
        <v>6.944444444444442E-2</v>
      </c>
      <c r="P30" s="50">
        <f>IF(MONTH(A953)=DAY(J1), IF(H986= 0, "−", H986),"")</f>
        <v>165</v>
      </c>
      <c r="Q30" s="51"/>
      <c r="R30" s="64" t="s">
        <v>102</v>
      </c>
      <c r="S30" s="67">
        <v>85000</v>
      </c>
      <c r="T30" s="72"/>
      <c r="U30" s="77"/>
    </row>
    <row r="31" spans="1:21" ht="13.5" customHeight="1" x14ac:dyDescent="0.25">
      <c r="A31" s="275"/>
      <c r="B31" s="275"/>
      <c r="C31" s="212" t="str">
        <f>IFERROR(VLOOKUP(C30,Списки!$E:$F,2,0)," ")</f>
        <v xml:space="preserve"> </v>
      </c>
      <c r="D31" s="277"/>
      <c r="E31" s="212" t="str">
        <f>IFERROR(VLOOKUP(E30,Списки!$E:$F,2,0)," ")</f>
        <v xml:space="preserve"> </v>
      </c>
      <c r="F31" s="277"/>
      <c r="G31" s="279"/>
      <c r="H31" s="280"/>
      <c r="I31" s="8"/>
      <c r="J31" s="281">
        <f>IF(MONTH(A987)=DAY(J1),A987,"")</f>
        <v>43860</v>
      </c>
      <c r="K31" s="282"/>
      <c r="L31" s="47">
        <f>IF(IF(D990,D990,F990) = 0, "",IF(D990,D990,F990))</f>
        <v>0.375</v>
      </c>
      <c r="M31" s="48">
        <f>IFERROR(IF(LOOKUP(9E+307,F990:F1019)&gt;LOOKUP(9E+307,D990:D1019),LOOKUP(9E+307,F990:F1019),LOOKUP(9E+307,D990:D1019)),"")</f>
        <v>0.78472222222222221</v>
      </c>
      <c r="N31" s="49">
        <f t="shared" si="0"/>
        <v>0.40972222222222221</v>
      </c>
      <c r="O31" s="49">
        <f>IF(MONTH(A987)=DAY(J1), IF(F1020 = 0, "−", F1020),"")</f>
        <v>7.638888888888884E-2</v>
      </c>
      <c r="P31" s="50">
        <f>IF(MONTH(A987)=DAY(J1), IF(H1020 = 0, "−", H1020),"")</f>
        <v>93</v>
      </c>
      <c r="Q31" s="51"/>
      <c r="R31" s="64" t="s">
        <v>30</v>
      </c>
      <c r="S31" s="67">
        <f>S18</f>
        <v>11073.333333333328</v>
      </c>
      <c r="T31" s="72"/>
      <c r="U31" s="77"/>
    </row>
    <row r="32" spans="1:21" ht="13.5" customHeight="1" x14ac:dyDescent="0.25">
      <c r="A32" s="274">
        <v>15</v>
      </c>
      <c r="B32" s="274"/>
      <c r="C32" s="211"/>
      <c r="D32" s="276"/>
      <c r="E32" s="211"/>
      <c r="F32" s="276"/>
      <c r="G32" s="278"/>
      <c r="H32" s="280"/>
      <c r="I32" s="8"/>
      <c r="J32" s="295">
        <f>IF(MONTH(A1021)=DAY(J1),A1021,"")</f>
        <v>43861</v>
      </c>
      <c r="K32" s="296"/>
      <c r="L32" s="47">
        <f>IF(IF(D1024,D1024,F1024) = 0, "",IF(D1024,D1024,F1024))</f>
        <v>0.375</v>
      </c>
      <c r="M32" s="48">
        <f>IFERROR(IF(LOOKUP(9E+307,F1024:F1053)&gt;LOOKUP(9E+307,D1024:D1053),LOOKUP(9E+307,F1024:F1053),LOOKUP(9E+307,D1024:D1053)),"")</f>
        <v>0.70833333333333337</v>
      </c>
      <c r="N32" s="49">
        <f>IF(AND(NOT(ISERR(M32-L32)),NOT(AND(ISBLANK(M32),ISBLANK(L32)))),IF(M32&lt;0.166666667,1-L32+M32,M32-L32),"")</f>
        <v>0.33333333333333337</v>
      </c>
      <c r="O32" s="49" t="str">
        <f>IF(MONTH(A1021)=DAY(J1), IF(F1054 = 0, "−", F1054),"")</f>
        <v>−</v>
      </c>
      <c r="P32" s="50">
        <f>IF(MONTH(A1021)=DAY(J1), IF(H1054 = 0, "−", H1054),"")</f>
        <v>160</v>
      </c>
      <c r="Q32" s="51"/>
      <c r="R32" s="64" t="s">
        <v>95</v>
      </c>
      <c r="S32" s="67">
        <f>S22</f>
        <v>13510.490307867733</v>
      </c>
      <c r="T32" s="72"/>
      <c r="U32" s="77"/>
    </row>
    <row r="33" spans="1:21" ht="13.5" customHeight="1" x14ac:dyDescent="0.25">
      <c r="A33" s="275"/>
      <c r="B33" s="275"/>
      <c r="C33" s="212" t="str">
        <f>IFERROR(VLOOKUP(C32,Списки!$E:$F,2,0)," ")</f>
        <v xml:space="preserve"> </v>
      </c>
      <c r="D33" s="277"/>
      <c r="E33" s="212" t="str">
        <f>IFERROR(VLOOKUP(E32,Списки!$E:$F,2,0)," ")</f>
        <v xml:space="preserve"> </v>
      </c>
      <c r="F33" s="277"/>
      <c r="G33" s="279"/>
      <c r="H33" s="280"/>
      <c r="I33" s="8"/>
      <c r="J33" s="8"/>
      <c r="K33" s="68"/>
      <c r="L33" s="69"/>
      <c r="M33" s="70"/>
      <c r="N33" s="300" t="s">
        <v>27</v>
      </c>
      <c r="O33" s="302">
        <f>SUM(O2:O32)</f>
        <v>1.0486111111111107</v>
      </c>
      <c r="P33" s="304">
        <f>SUM(P2:P32)</f>
        <v>2521</v>
      </c>
      <c r="Q33" s="290"/>
      <c r="R33" s="64" t="s">
        <v>101</v>
      </c>
      <c r="S33" s="67">
        <f>S28</f>
        <v>5892</v>
      </c>
      <c r="T33" s="72"/>
      <c r="U33" s="77"/>
    </row>
    <row r="34" spans="1:21" x14ac:dyDescent="0.25">
      <c r="A34" s="214"/>
      <c r="B34" s="215"/>
      <c r="C34" s="214"/>
      <c r="D34" s="214"/>
      <c r="E34" s="216" t="s">
        <v>47</v>
      </c>
      <c r="F34" s="217">
        <f>IFERROR(SUM(IFERROR(IF((LOOKUP(9E+307,F4:F33))&gt;$M$39,(LOOKUP(9E+307,F4:F33))-$M$39,IF((LOOKUP(9E+307,F4:F33))&lt;0.166666667,0+(LOOKUP(9E+307,F4:F33))+1-$M$39,0)),0),(IF(AND(IF(D4,$M$38-D4,0)&gt;0,F4,F4&gt;D4),$M$38-D4,IF(AND(D4,F4,D4&gt;F4),"error",0)))),"ОШИБКА")</f>
        <v>0</v>
      </c>
      <c r="G34" s="218" t="s">
        <v>27</v>
      </c>
      <c r="H34" s="216">
        <f>SUM(H4:H33)</f>
        <v>0</v>
      </c>
      <c r="I34" s="8"/>
      <c r="J34" s="8"/>
      <c r="K34" s="36"/>
      <c r="L34" s="36"/>
      <c r="M34" s="36"/>
      <c r="N34" s="301"/>
      <c r="O34" s="303"/>
      <c r="P34" s="305"/>
      <c r="Q34" s="290"/>
      <c r="R34" s="64" t="s">
        <v>103</v>
      </c>
      <c r="S34" s="71">
        <f>SUM(S30:S33)</f>
        <v>115475.82364120106</v>
      </c>
      <c r="T34" s="72"/>
      <c r="U34" s="77"/>
    </row>
    <row r="35" spans="1:21" ht="15.75" x14ac:dyDescent="0.25">
      <c r="A35" s="283">
        <f>DATE(K1,J1,2)</f>
        <v>43832</v>
      </c>
      <c r="B35" s="283"/>
      <c r="C35" s="283"/>
      <c r="D35" s="283"/>
      <c r="E35" s="283"/>
      <c r="F35" s="283"/>
      <c r="G35" s="283"/>
      <c r="H35" s="283"/>
      <c r="I35" s="8"/>
      <c r="J35" s="8"/>
      <c r="K35" s="36"/>
      <c r="L35" s="36"/>
      <c r="M35" s="8"/>
      <c r="N35" s="36"/>
      <c r="O35" s="36"/>
      <c r="P35" s="36"/>
      <c r="Q35" s="36"/>
      <c r="R35" s="36"/>
      <c r="S35" s="36"/>
      <c r="T35" s="72"/>
      <c r="U35" s="77"/>
    </row>
    <row r="36" spans="1:21" ht="13.5" customHeight="1" x14ac:dyDescent="0.25">
      <c r="A36" s="291"/>
      <c r="B36" s="292" t="s">
        <v>34</v>
      </c>
      <c r="C36" s="219" t="s">
        <v>39</v>
      </c>
      <c r="D36" s="292" t="s">
        <v>36</v>
      </c>
      <c r="E36" s="219" t="s">
        <v>37</v>
      </c>
      <c r="F36" s="292" t="s">
        <v>36</v>
      </c>
      <c r="G36" s="293" t="s">
        <v>35</v>
      </c>
      <c r="H36" s="297" t="s">
        <v>40</v>
      </c>
      <c r="I36" s="8"/>
      <c r="J36" s="8"/>
      <c r="K36" s="36"/>
      <c r="L36" s="36"/>
      <c r="M36" s="36"/>
      <c r="N36" s="36"/>
      <c r="O36" s="36"/>
      <c r="P36" s="36"/>
      <c r="Q36" s="36"/>
      <c r="R36" s="36"/>
      <c r="S36" s="36"/>
      <c r="T36" s="72"/>
      <c r="U36" s="77"/>
    </row>
    <row r="37" spans="1:21" ht="13.5" customHeight="1" x14ac:dyDescent="0.25">
      <c r="A37" s="285"/>
      <c r="B37" s="288"/>
      <c r="C37" s="210" t="s">
        <v>38</v>
      </c>
      <c r="D37" s="288"/>
      <c r="E37" s="210" t="s">
        <v>38</v>
      </c>
      <c r="F37" s="288"/>
      <c r="G37" s="294"/>
      <c r="H37" s="297"/>
      <c r="I37" s="8"/>
      <c r="J37" s="8"/>
      <c r="K37" s="36"/>
      <c r="L37" s="298" t="s">
        <v>134</v>
      </c>
      <c r="M37" s="299"/>
      <c r="N37" s="73"/>
      <c r="O37" s="186">
        <f>S34-S33-S22</f>
        <v>96073.333333333328</v>
      </c>
      <c r="P37" s="36"/>
      <c r="Q37" s="36"/>
      <c r="R37" s="36"/>
      <c r="S37" s="36"/>
      <c r="T37" s="72"/>
      <c r="U37" s="77"/>
    </row>
    <row r="38" spans="1:21" ht="13.5" customHeight="1" x14ac:dyDescent="0.25">
      <c r="A38" s="274">
        <v>1</v>
      </c>
      <c r="B38" s="274"/>
      <c r="C38" s="211" t="s">
        <v>43</v>
      </c>
      <c r="D38" s="276"/>
      <c r="E38" s="211" t="s">
        <v>44</v>
      </c>
      <c r="F38" s="276"/>
      <c r="G38" s="278"/>
      <c r="H38" s="280"/>
      <c r="I38" s="8"/>
      <c r="J38" s="8"/>
      <c r="K38" s="36"/>
      <c r="L38" s="74" t="s">
        <v>132</v>
      </c>
      <c r="M38" s="75">
        <v>0.3125</v>
      </c>
      <c r="N38" s="36"/>
      <c r="O38" s="187">
        <f>S32</f>
        <v>13510.490307867733</v>
      </c>
      <c r="P38" s="36"/>
      <c r="Q38" s="36"/>
      <c r="R38" s="36"/>
      <c r="S38" s="36"/>
      <c r="T38" s="72"/>
      <c r="U38" s="77"/>
    </row>
    <row r="39" spans="1:21" ht="13.5" customHeight="1" x14ac:dyDescent="0.25">
      <c r="A39" s="275"/>
      <c r="B39" s="275"/>
      <c r="C39" s="212" t="str">
        <f>IFERROR(VLOOKUP(C38,Списки!$E:$F,2,0)," ")</f>
        <v>SAVUSHKINA ST 128</v>
      </c>
      <c r="D39" s="277"/>
      <c r="E39" s="212" t="str">
        <f>IFERROR(VLOOKUP(E38,Списки!$E:$F,2,0)," ")</f>
        <v>LEVASHOVSKOE HWY 20</v>
      </c>
      <c r="F39" s="277"/>
      <c r="G39" s="279"/>
      <c r="H39" s="280"/>
      <c r="I39" s="8"/>
      <c r="J39" s="8"/>
      <c r="K39" s="36"/>
      <c r="L39" s="74" t="s">
        <v>133</v>
      </c>
      <c r="M39" s="75">
        <v>0.70833333333333337</v>
      </c>
      <c r="N39" s="36"/>
      <c r="O39" s="188">
        <f>(SUM(N2:N32))</f>
        <v>7.0902777777777777</v>
      </c>
      <c r="P39" s="36"/>
      <c r="Q39" s="36"/>
      <c r="R39" s="36"/>
      <c r="S39" s="36"/>
      <c r="T39" s="72"/>
      <c r="U39" s="77"/>
    </row>
    <row r="40" spans="1:21" ht="13.5" customHeight="1" x14ac:dyDescent="0.25">
      <c r="A40" s="274">
        <v>2</v>
      </c>
      <c r="B40" s="274"/>
      <c r="C40" s="211" t="s">
        <v>44</v>
      </c>
      <c r="D40" s="276"/>
      <c r="E40" s="211"/>
      <c r="F40" s="276"/>
      <c r="G40" s="278"/>
      <c r="H40" s="280"/>
      <c r="I40" s="8"/>
      <c r="J40" s="8"/>
      <c r="K40" s="36"/>
      <c r="L40" s="36"/>
      <c r="M40" s="36"/>
      <c r="N40" s="76"/>
      <c r="O40" s="185">
        <f>P33</f>
        <v>2521</v>
      </c>
      <c r="P40" s="36"/>
      <c r="Q40" s="36"/>
      <c r="R40" s="36"/>
      <c r="S40" s="36"/>
      <c r="T40" s="72"/>
      <c r="U40" s="77"/>
    </row>
    <row r="41" spans="1:21" ht="13.5" customHeight="1" x14ac:dyDescent="0.25">
      <c r="A41" s="275"/>
      <c r="B41" s="275"/>
      <c r="C41" s="212" t="str">
        <f>IFERROR(VLOOKUP(C40,Списки!$E:$F,2,0)," ")</f>
        <v>LEVASHOVSKOE HWY 20</v>
      </c>
      <c r="D41" s="277"/>
      <c r="E41" s="212" t="str">
        <f>IFERROR(VLOOKUP(E40,Списки!$E:$F,2,0)," ")</f>
        <v xml:space="preserve"> </v>
      </c>
      <c r="F41" s="277"/>
      <c r="G41" s="279"/>
      <c r="H41" s="280"/>
      <c r="I41" s="8"/>
      <c r="J41" s="8"/>
      <c r="K41" s="8"/>
      <c r="L41" s="79"/>
      <c r="M41" s="8"/>
      <c r="N41" s="80"/>
      <c r="O41" s="8"/>
      <c r="P41" s="8"/>
      <c r="Q41" s="8"/>
      <c r="R41" s="8"/>
      <c r="S41" s="8"/>
      <c r="T41" s="82"/>
    </row>
    <row r="42" spans="1:21" ht="13.5" customHeight="1" x14ac:dyDescent="0.25">
      <c r="A42" s="274">
        <v>3</v>
      </c>
      <c r="B42" s="274"/>
      <c r="C42" s="211"/>
      <c r="D42" s="276"/>
      <c r="E42" s="211"/>
      <c r="F42" s="276"/>
      <c r="G42" s="278"/>
      <c r="H42" s="280"/>
      <c r="I42" s="8"/>
      <c r="J42" s="8"/>
      <c r="K42" s="8"/>
      <c r="L42" s="79"/>
      <c r="M42" s="8"/>
      <c r="N42" s="8"/>
      <c r="O42" s="8"/>
      <c r="P42" s="8"/>
      <c r="Q42" s="8"/>
      <c r="R42" s="8"/>
      <c r="S42" s="8"/>
      <c r="T42" s="82"/>
    </row>
    <row r="43" spans="1:21" ht="13.5" customHeight="1" x14ac:dyDescent="0.25">
      <c r="A43" s="275"/>
      <c r="B43" s="275"/>
      <c r="C43" s="212" t="str">
        <f>IFERROR(VLOOKUP(C42,Списки!$E:$F,2,0)," ")</f>
        <v xml:space="preserve"> </v>
      </c>
      <c r="D43" s="277"/>
      <c r="E43" s="212" t="str">
        <f>IFERROR(VLOOKUP(E42,Списки!$E:$F,2,0)," ")</f>
        <v xml:space="preserve"> </v>
      </c>
      <c r="F43" s="277"/>
      <c r="G43" s="279"/>
      <c r="H43" s="280"/>
      <c r="I43" s="8"/>
      <c r="J43" s="8"/>
      <c r="K43" s="8"/>
      <c r="L43" s="79"/>
      <c r="M43" s="79"/>
      <c r="N43" s="8"/>
      <c r="O43" s="8"/>
      <c r="P43" s="8"/>
      <c r="Q43" s="8"/>
      <c r="R43" s="8"/>
      <c r="S43" s="8"/>
      <c r="T43" s="82"/>
    </row>
    <row r="44" spans="1:21" ht="13.5" customHeight="1" x14ac:dyDescent="0.25">
      <c r="A44" s="274">
        <v>4</v>
      </c>
      <c r="B44" s="274"/>
      <c r="C44" s="211"/>
      <c r="D44" s="276"/>
      <c r="E44" s="211"/>
      <c r="F44" s="276"/>
      <c r="G44" s="278"/>
      <c r="H44" s="280"/>
      <c r="I44" s="8"/>
      <c r="J44" s="8"/>
      <c r="K44" s="8"/>
      <c r="L44" s="79"/>
      <c r="M44" s="79"/>
      <c r="N44" s="8"/>
      <c r="O44" s="8"/>
      <c r="P44" s="8"/>
      <c r="Q44" s="8"/>
      <c r="R44" s="8"/>
      <c r="S44" s="8"/>
      <c r="T44" s="82"/>
    </row>
    <row r="45" spans="1:21" ht="13.5" customHeight="1" x14ac:dyDescent="0.25">
      <c r="A45" s="275"/>
      <c r="B45" s="275"/>
      <c r="C45" s="212" t="str">
        <f>IFERROR(VLOOKUP(C44,Списки!$E:$F,2,0)," ")</f>
        <v xml:space="preserve"> </v>
      </c>
      <c r="D45" s="277"/>
      <c r="E45" s="212" t="str">
        <f>IFERROR(VLOOKUP(E44,Списки!$E:$F,2,0)," ")</f>
        <v xml:space="preserve"> </v>
      </c>
      <c r="F45" s="277"/>
      <c r="G45" s="279"/>
      <c r="H45" s="280"/>
      <c r="I45" s="8"/>
      <c r="J45" s="8"/>
      <c r="K45" s="78"/>
      <c r="L45" s="79"/>
      <c r="M45" s="79"/>
      <c r="N45" s="80"/>
      <c r="O45" s="8"/>
      <c r="P45" s="8"/>
      <c r="Q45" s="8"/>
      <c r="R45" s="8"/>
      <c r="S45" s="8"/>
      <c r="T45" s="82"/>
    </row>
    <row r="46" spans="1:21" ht="13.5" customHeight="1" x14ac:dyDescent="0.25">
      <c r="A46" s="274">
        <v>5</v>
      </c>
      <c r="B46" s="274"/>
      <c r="C46" s="211"/>
      <c r="D46" s="276"/>
      <c r="E46" s="213"/>
      <c r="F46" s="276"/>
      <c r="G46" s="278"/>
      <c r="H46" s="280"/>
      <c r="I46" s="8"/>
      <c r="J46" s="8"/>
      <c r="K46" s="8"/>
      <c r="L46" s="79"/>
      <c r="M46" s="79"/>
      <c r="N46" s="8"/>
      <c r="O46" s="8"/>
      <c r="P46" s="8"/>
      <c r="Q46" s="8"/>
      <c r="R46" s="8"/>
      <c r="S46" s="8"/>
      <c r="T46" s="82"/>
    </row>
    <row r="47" spans="1:21" ht="13.5" customHeight="1" x14ac:dyDescent="0.25">
      <c r="A47" s="275"/>
      <c r="B47" s="275"/>
      <c r="C47" s="212" t="str">
        <f>IFERROR(VLOOKUP(C46,Списки!$E:$F,2,0)," ")</f>
        <v xml:space="preserve"> </v>
      </c>
      <c r="D47" s="277"/>
      <c r="E47" s="213" t="str">
        <f>IFERROR(VLOOKUP(E46,Списки!$E:$F,2,0)," ")</f>
        <v xml:space="preserve"> </v>
      </c>
      <c r="F47" s="277"/>
      <c r="G47" s="279"/>
      <c r="H47" s="280"/>
      <c r="I47" s="8"/>
      <c r="J47" s="8"/>
      <c r="K47" s="8"/>
      <c r="L47" s="79"/>
      <c r="M47" s="79"/>
      <c r="N47" s="8"/>
      <c r="O47" s="8"/>
      <c r="P47" s="8"/>
      <c r="Q47" s="8"/>
      <c r="R47" s="8"/>
      <c r="S47" s="8"/>
      <c r="T47" s="82"/>
    </row>
    <row r="48" spans="1:21" ht="13.5" customHeight="1" x14ac:dyDescent="0.25">
      <c r="A48" s="274">
        <v>6</v>
      </c>
      <c r="B48" s="274"/>
      <c r="C48" s="211"/>
      <c r="D48" s="276"/>
      <c r="E48" s="211"/>
      <c r="F48" s="276"/>
      <c r="G48" s="278"/>
      <c r="H48" s="280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2"/>
    </row>
    <row r="49" spans="1:20" ht="13.5" customHeight="1" x14ac:dyDescent="0.25">
      <c r="A49" s="275"/>
      <c r="B49" s="275"/>
      <c r="C49" s="212" t="str">
        <f>IFERROR(VLOOKUP(C48,Списки!$E:$F,2,0)," ")</f>
        <v xml:space="preserve"> </v>
      </c>
      <c r="D49" s="277"/>
      <c r="E49" s="213" t="str">
        <f>IFERROR(VLOOKUP(E48,Списки!$E:$F,2,0)," ")</f>
        <v xml:space="preserve"> </v>
      </c>
      <c r="F49" s="277"/>
      <c r="G49" s="279"/>
      <c r="H49" s="280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2"/>
    </row>
    <row r="50" spans="1:20" ht="13.5" customHeight="1" x14ac:dyDescent="0.25">
      <c r="A50" s="274">
        <v>7</v>
      </c>
      <c r="B50" s="274"/>
      <c r="C50" s="211"/>
      <c r="D50" s="276"/>
      <c r="E50" s="211"/>
      <c r="F50" s="276"/>
      <c r="G50" s="278"/>
      <c r="H50" s="280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2"/>
    </row>
    <row r="51" spans="1:20" ht="13.5" customHeight="1" x14ac:dyDescent="0.25">
      <c r="A51" s="275"/>
      <c r="B51" s="275"/>
      <c r="C51" s="213" t="str">
        <f>IFERROR(VLOOKUP(C50,Списки!$E:$F,2,0)," ")</f>
        <v xml:space="preserve"> </v>
      </c>
      <c r="D51" s="277"/>
      <c r="E51" s="212" t="str">
        <f>IFERROR(VLOOKUP(E50,Списки!$E:$F,2,0)," ")</f>
        <v xml:space="preserve"> </v>
      </c>
      <c r="F51" s="277"/>
      <c r="G51" s="279"/>
      <c r="H51" s="280"/>
      <c r="I51" s="8"/>
      <c r="J51" s="8"/>
      <c r="K51" s="8"/>
      <c r="L51" s="8"/>
      <c r="M51" s="8"/>
      <c r="N51" s="80"/>
      <c r="O51" s="8"/>
      <c r="P51" s="8"/>
      <c r="Q51" s="8"/>
      <c r="R51" s="8"/>
      <c r="S51" s="8"/>
      <c r="T51" s="82"/>
    </row>
    <row r="52" spans="1:20" ht="13.5" customHeight="1" x14ac:dyDescent="0.25">
      <c r="A52" s="274">
        <v>8</v>
      </c>
      <c r="B52" s="274"/>
      <c r="C52" s="211"/>
      <c r="D52" s="276"/>
      <c r="E52" s="211"/>
      <c r="F52" s="276"/>
      <c r="G52" s="278"/>
      <c r="H52" s="280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2"/>
    </row>
    <row r="53" spans="1:20" ht="13.5" customHeight="1" x14ac:dyDescent="0.25">
      <c r="A53" s="275"/>
      <c r="B53" s="275"/>
      <c r="C53" s="213" t="str">
        <f>IFERROR(VLOOKUP(C52,Списки!$E:$F,2,0)," ")</f>
        <v xml:space="preserve"> </v>
      </c>
      <c r="D53" s="277"/>
      <c r="E53" s="212" t="str">
        <f>IFERROR(VLOOKUP(E52,Списки!$E:$F,2,0)," ")</f>
        <v xml:space="preserve"> </v>
      </c>
      <c r="F53" s="277"/>
      <c r="G53" s="279"/>
      <c r="H53" s="280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2"/>
    </row>
    <row r="54" spans="1:20" ht="13.5" customHeight="1" x14ac:dyDescent="0.25">
      <c r="A54" s="274">
        <v>9</v>
      </c>
      <c r="B54" s="274"/>
      <c r="C54" s="211"/>
      <c r="D54" s="276"/>
      <c r="E54" s="211"/>
      <c r="F54" s="276"/>
      <c r="G54" s="278"/>
      <c r="H54" s="280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2"/>
    </row>
    <row r="55" spans="1:20" ht="13.5" customHeight="1" x14ac:dyDescent="0.25">
      <c r="A55" s="275"/>
      <c r="B55" s="275"/>
      <c r="C55" s="212" t="str">
        <f>IFERROR(VLOOKUP(C54,Списки!$E:$F,2,0)," ")</f>
        <v xml:space="preserve"> </v>
      </c>
      <c r="D55" s="277"/>
      <c r="E55" s="212" t="str">
        <f>IFERROR(VLOOKUP(E54,Списки!$E:$F,2,0)," ")</f>
        <v xml:space="preserve"> </v>
      </c>
      <c r="F55" s="277"/>
      <c r="G55" s="279"/>
      <c r="H55" s="280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2"/>
    </row>
    <row r="56" spans="1:20" ht="13.5" customHeight="1" x14ac:dyDescent="0.25">
      <c r="A56" s="274">
        <v>10</v>
      </c>
      <c r="B56" s="274"/>
      <c r="C56" s="211"/>
      <c r="D56" s="276"/>
      <c r="E56" s="211"/>
      <c r="F56" s="276"/>
      <c r="G56" s="278"/>
      <c r="H56" s="280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2"/>
    </row>
    <row r="57" spans="1:20" ht="13.5" customHeight="1" x14ac:dyDescent="0.25">
      <c r="A57" s="275"/>
      <c r="B57" s="275"/>
      <c r="C57" s="212" t="str">
        <f>IFERROR(VLOOKUP(C56,Списки!$E:$F,2,0)," ")</f>
        <v xml:space="preserve"> </v>
      </c>
      <c r="D57" s="277"/>
      <c r="E57" s="212" t="str">
        <f>IFERROR(VLOOKUP(E56,Списки!$E:$F,2,0)," ")</f>
        <v xml:space="preserve"> </v>
      </c>
      <c r="F57" s="277"/>
      <c r="G57" s="279"/>
      <c r="H57" s="280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2"/>
    </row>
    <row r="58" spans="1:20" ht="13.5" customHeight="1" x14ac:dyDescent="0.25">
      <c r="A58" s="274">
        <v>11</v>
      </c>
      <c r="B58" s="274"/>
      <c r="C58" s="211"/>
      <c r="D58" s="276"/>
      <c r="E58" s="211"/>
      <c r="F58" s="276"/>
      <c r="G58" s="278"/>
      <c r="H58" s="280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2"/>
    </row>
    <row r="59" spans="1:20" ht="13.5" customHeight="1" x14ac:dyDescent="0.25">
      <c r="A59" s="275"/>
      <c r="B59" s="275"/>
      <c r="C59" s="212" t="str">
        <f>IFERROR(VLOOKUP(C58,Списки!$E:$F,2,0)," ")</f>
        <v xml:space="preserve"> </v>
      </c>
      <c r="D59" s="277"/>
      <c r="E59" s="212" t="str">
        <f>IFERROR(VLOOKUP(E58,Списки!$E:$F,2,0)," ")</f>
        <v xml:space="preserve"> </v>
      </c>
      <c r="F59" s="277"/>
      <c r="G59" s="279"/>
      <c r="H59" s="280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2"/>
    </row>
    <row r="60" spans="1:20" ht="13.5" customHeight="1" x14ac:dyDescent="0.25">
      <c r="A60" s="274">
        <v>12</v>
      </c>
      <c r="B60" s="274"/>
      <c r="C60" s="211"/>
      <c r="D60" s="276"/>
      <c r="E60" s="211"/>
      <c r="F60" s="276"/>
      <c r="G60" s="278"/>
      <c r="H60" s="280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2"/>
    </row>
    <row r="61" spans="1:20" ht="13.5" customHeight="1" x14ac:dyDescent="0.25">
      <c r="A61" s="275"/>
      <c r="B61" s="275"/>
      <c r="C61" s="212" t="str">
        <f>IFERROR(VLOOKUP(C60,Списки!$E:$F,2,0)," ")</f>
        <v xml:space="preserve"> </v>
      </c>
      <c r="D61" s="277"/>
      <c r="E61" s="212" t="str">
        <f>IFERROR(VLOOKUP(E60,Списки!$E:$F,2,0)," ")</f>
        <v xml:space="preserve"> </v>
      </c>
      <c r="F61" s="277"/>
      <c r="G61" s="279"/>
      <c r="H61" s="280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2"/>
    </row>
    <row r="62" spans="1:20" ht="13.5" customHeight="1" x14ac:dyDescent="0.25">
      <c r="A62" s="274">
        <v>13</v>
      </c>
      <c r="B62" s="274"/>
      <c r="C62" s="211"/>
      <c r="D62" s="276"/>
      <c r="E62" s="211"/>
      <c r="F62" s="276"/>
      <c r="G62" s="278"/>
      <c r="H62" s="280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2"/>
    </row>
    <row r="63" spans="1:20" ht="13.5" customHeight="1" x14ac:dyDescent="0.25">
      <c r="A63" s="275"/>
      <c r="B63" s="275"/>
      <c r="C63" s="212" t="str">
        <f>IFERROR(VLOOKUP(C62,Списки!$E:$F,2,0)," ")</f>
        <v xml:space="preserve"> </v>
      </c>
      <c r="D63" s="277"/>
      <c r="E63" s="212" t="str">
        <f>IFERROR(VLOOKUP(E62,Списки!$E:$F,2,0)," ")</f>
        <v xml:space="preserve"> </v>
      </c>
      <c r="F63" s="277"/>
      <c r="G63" s="279"/>
      <c r="H63" s="280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2"/>
    </row>
    <row r="64" spans="1:20" ht="13.5" customHeight="1" x14ac:dyDescent="0.25">
      <c r="A64" s="274">
        <v>14</v>
      </c>
      <c r="B64" s="274"/>
      <c r="C64" s="211"/>
      <c r="D64" s="276"/>
      <c r="E64" s="211"/>
      <c r="F64" s="276"/>
      <c r="G64" s="278"/>
      <c r="H64" s="280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2"/>
    </row>
    <row r="65" spans="1:20" ht="13.5" customHeight="1" x14ac:dyDescent="0.25">
      <c r="A65" s="275"/>
      <c r="B65" s="275"/>
      <c r="C65" s="212" t="str">
        <f>IFERROR(VLOOKUP(C64,Списки!$E:$F,2,0)," ")</f>
        <v xml:space="preserve"> </v>
      </c>
      <c r="D65" s="277"/>
      <c r="E65" s="212" t="str">
        <f>IFERROR(VLOOKUP(E64,Списки!$E:$F,2,0)," ")</f>
        <v xml:space="preserve"> </v>
      </c>
      <c r="F65" s="277"/>
      <c r="G65" s="279"/>
      <c r="H65" s="280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2"/>
    </row>
    <row r="66" spans="1:20" ht="13.5" customHeight="1" x14ac:dyDescent="0.25">
      <c r="A66" s="274">
        <v>15</v>
      </c>
      <c r="B66" s="274"/>
      <c r="C66" s="211"/>
      <c r="D66" s="276"/>
      <c r="E66" s="211"/>
      <c r="F66" s="276"/>
      <c r="G66" s="278"/>
      <c r="H66" s="280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2"/>
    </row>
    <row r="67" spans="1:20" ht="13.5" customHeight="1" x14ac:dyDescent="0.25">
      <c r="A67" s="275"/>
      <c r="B67" s="275"/>
      <c r="C67" s="212" t="str">
        <f>IFERROR(VLOOKUP(C66,Списки!$E:$F,2,0)," ")</f>
        <v xml:space="preserve"> </v>
      </c>
      <c r="D67" s="277"/>
      <c r="E67" s="212" t="str">
        <f>IFERROR(VLOOKUP(E66,Списки!$E:$F,2,0)," ")</f>
        <v xml:space="preserve"> </v>
      </c>
      <c r="F67" s="277"/>
      <c r="G67" s="279"/>
      <c r="H67" s="280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2"/>
    </row>
    <row r="68" spans="1:20" x14ac:dyDescent="0.25">
      <c r="A68" s="214"/>
      <c r="B68" s="215"/>
      <c r="C68" s="214"/>
      <c r="D68" s="214"/>
      <c r="E68" s="216" t="s">
        <v>30</v>
      </c>
      <c r="F68" s="217">
        <f>IFERROR(SUM(IFERROR(IF((LOOKUP(9E+307,F38:F67))&gt;$M$39,(LOOKUP(9E+307,F38:F67))-$M$39,IF((LOOKUP(9E+307,F38:F67))&lt;0.166666667,0+(LOOKUP(9E+307,F38:F67))+1-$M$39,0)),0),(IF(AND(IF(D38,$M$38-D38,0)&gt;0,F38,F38&gt;D38),$M$38-D38,IF(AND(D38,F38,D38&gt;F38),"error",0)))),"ОШИБКА")</f>
        <v>0</v>
      </c>
      <c r="G68" s="218" t="s">
        <v>27</v>
      </c>
      <c r="H68" s="216">
        <f>SUM(H38:H67)</f>
        <v>0</v>
      </c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2"/>
    </row>
    <row r="69" spans="1:20" ht="15.75" x14ac:dyDescent="0.25">
      <c r="A69" s="283">
        <f>DATE(K1,J1,3)</f>
        <v>43833</v>
      </c>
      <c r="B69" s="283"/>
      <c r="C69" s="283"/>
      <c r="D69" s="283"/>
      <c r="E69" s="283"/>
      <c r="F69" s="283"/>
      <c r="G69" s="283"/>
      <c r="H69" s="283"/>
      <c r="I69" s="8"/>
      <c r="J69" s="8"/>
      <c r="K69" s="8"/>
      <c r="L69" s="8"/>
      <c r="M69" s="8"/>
      <c r="N69" s="81"/>
      <c r="O69" s="8"/>
      <c r="P69" s="8"/>
      <c r="Q69" s="8"/>
      <c r="R69" s="8"/>
      <c r="S69" s="8"/>
      <c r="T69" s="82"/>
    </row>
    <row r="70" spans="1:20" ht="13.5" customHeight="1" x14ac:dyDescent="0.25">
      <c r="A70" s="291"/>
      <c r="B70" s="292" t="s">
        <v>34</v>
      </c>
      <c r="C70" s="219" t="s">
        <v>39</v>
      </c>
      <c r="D70" s="292" t="s">
        <v>36</v>
      </c>
      <c r="E70" s="219" t="s">
        <v>37</v>
      </c>
      <c r="F70" s="292" t="s">
        <v>36</v>
      </c>
      <c r="G70" s="293" t="s">
        <v>35</v>
      </c>
      <c r="H70" s="297" t="s">
        <v>40</v>
      </c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2"/>
    </row>
    <row r="71" spans="1:20" ht="13.5" customHeight="1" x14ac:dyDescent="0.25">
      <c r="A71" s="285"/>
      <c r="B71" s="288"/>
      <c r="C71" s="210" t="s">
        <v>38</v>
      </c>
      <c r="D71" s="288"/>
      <c r="E71" s="210" t="s">
        <v>38</v>
      </c>
      <c r="F71" s="288"/>
      <c r="G71" s="294"/>
      <c r="H71" s="297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2"/>
    </row>
    <row r="72" spans="1:20" ht="13.5" customHeight="1" x14ac:dyDescent="0.25">
      <c r="A72" s="274">
        <v>1</v>
      </c>
      <c r="B72" s="274"/>
      <c r="C72" s="211" t="s">
        <v>43</v>
      </c>
      <c r="D72" s="276"/>
      <c r="E72" s="211" t="s">
        <v>44</v>
      </c>
      <c r="F72" s="276"/>
      <c r="G72" s="278"/>
      <c r="H72" s="280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2"/>
    </row>
    <row r="73" spans="1:20" ht="13.5" customHeight="1" x14ac:dyDescent="0.25">
      <c r="A73" s="275"/>
      <c r="B73" s="275"/>
      <c r="C73" s="212" t="str">
        <f>IFERROR(VLOOKUP(C72,Списки!$E:$F,2,0)," ")</f>
        <v>SAVUSHKINA ST 128</v>
      </c>
      <c r="D73" s="277"/>
      <c r="E73" s="212" t="str">
        <f>IFERROR(VLOOKUP(E72,Списки!$E:$F,2,0)," ")</f>
        <v>LEVASHOVSKOE HWY 20</v>
      </c>
      <c r="F73" s="277"/>
      <c r="G73" s="279"/>
      <c r="H73" s="280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2"/>
    </row>
    <row r="74" spans="1:20" ht="13.5" customHeight="1" x14ac:dyDescent="0.25">
      <c r="A74" s="274">
        <v>2</v>
      </c>
      <c r="B74" s="274"/>
      <c r="C74" s="211" t="s">
        <v>44</v>
      </c>
      <c r="D74" s="276"/>
      <c r="E74" s="211"/>
      <c r="F74" s="276"/>
      <c r="G74" s="278"/>
      <c r="H74" s="280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2"/>
    </row>
    <row r="75" spans="1:20" ht="13.5" customHeight="1" x14ac:dyDescent="0.25">
      <c r="A75" s="275"/>
      <c r="B75" s="275"/>
      <c r="C75" s="212" t="str">
        <f>IFERROR(VLOOKUP(C74,Списки!$E:$F,2,0)," ")</f>
        <v>LEVASHOVSKOE HWY 20</v>
      </c>
      <c r="D75" s="277"/>
      <c r="E75" s="212" t="str">
        <f>IFERROR(VLOOKUP(E74,Списки!$E:$F,2,0)," ")</f>
        <v xml:space="preserve"> </v>
      </c>
      <c r="F75" s="277"/>
      <c r="G75" s="279"/>
      <c r="H75" s="280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2"/>
    </row>
    <row r="76" spans="1:20" ht="13.5" customHeight="1" x14ac:dyDescent="0.25">
      <c r="A76" s="274">
        <v>3</v>
      </c>
      <c r="B76" s="274"/>
      <c r="C76" s="211"/>
      <c r="D76" s="276"/>
      <c r="E76" s="211"/>
      <c r="F76" s="276"/>
      <c r="G76" s="278"/>
      <c r="H76" s="280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2"/>
    </row>
    <row r="77" spans="1:20" ht="13.5" customHeight="1" x14ac:dyDescent="0.25">
      <c r="A77" s="275"/>
      <c r="B77" s="275"/>
      <c r="C77" s="212" t="str">
        <f>IFERROR(VLOOKUP(C76,Списки!$E:$F,2,0)," ")</f>
        <v xml:space="preserve"> </v>
      </c>
      <c r="D77" s="277"/>
      <c r="E77" s="212" t="str">
        <f>IFERROR(VLOOKUP(E76,Списки!$E:$F,2,0)," ")</f>
        <v xml:space="preserve"> </v>
      </c>
      <c r="F77" s="277"/>
      <c r="G77" s="279"/>
      <c r="H77" s="280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2"/>
    </row>
    <row r="78" spans="1:20" ht="13.5" customHeight="1" x14ac:dyDescent="0.25">
      <c r="A78" s="274">
        <v>4</v>
      </c>
      <c r="B78" s="274"/>
      <c r="C78" s="211"/>
      <c r="D78" s="276"/>
      <c r="E78" s="211"/>
      <c r="F78" s="276"/>
      <c r="G78" s="278"/>
      <c r="H78" s="280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2"/>
    </row>
    <row r="79" spans="1:20" ht="13.5" customHeight="1" x14ac:dyDescent="0.25">
      <c r="A79" s="275"/>
      <c r="B79" s="275"/>
      <c r="C79" s="212" t="str">
        <f>IFERROR(VLOOKUP(C78,Списки!$E:$F,2,0)," ")</f>
        <v xml:space="preserve"> </v>
      </c>
      <c r="D79" s="277"/>
      <c r="E79" s="212" t="str">
        <f>IFERROR(VLOOKUP(E78,Списки!$E:$F,2,0)," ")</f>
        <v xml:space="preserve"> </v>
      </c>
      <c r="F79" s="277"/>
      <c r="G79" s="279"/>
      <c r="H79" s="280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2"/>
    </row>
    <row r="80" spans="1:20" ht="13.5" customHeight="1" x14ac:dyDescent="0.25">
      <c r="A80" s="274">
        <v>5</v>
      </c>
      <c r="B80" s="274"/>
      <c r="C80" s="211"/>
      <c r="D80" s="276"/>
      <c r="E80" s="213"/>
      <c r="F80" s="276"/>
      <c r="G80" s="278"/>
      <c r="H80" s="280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2"/>
    </row>
    <row r="81" spans="1:20" ht="13.5" customHeight="1" x14ac:dyDescent="0.25">
      <c r="A81" s="275"/>
      <c r="B81" s="275"/>
      <c r="C81" s="212" t="str">
        <f>IFERROR(VLOOKUP(C80,Списки!$E:$F,2,0)," ")</f>
        <v xml:space="preserve"> </v>
      </c>
      <c r="D81" s="277"/>
      <c r="E81" s="213" t="str">
        <f>IFERROR(VLOOKUP(E80,Списки!$E:$F,2,0)," ")</f>
        <v xml:space="preserve"> </v>
      </c>
      <c r="F81" s="277"/>
      <c r="G81" s="279"/>
      <c r="H81" s="280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2"/>
    </row>
    <row r="82" spans="1:20" ht="13.5" customHeight="1" x14ac:dyDescent="0.25">
      <c r="A82" s="274">
        <v>6</v>
      </c>
      <c r="B82" s="274"/>
      <c r="C82" s="211"/>
      <c r="D82" s="276"/>
      <c r="E82" s="211"/>
      <c r="F82" s="276"/>
      <c r="G82" s="278"/>
      <c r="H82" s="280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2"/>
    </row>
    <row r="83" spans="1:20" ht="13.5" customHeight="1" x14ac:dyDescent="0.25">
      <c r="A83" s="275"/>
      <c r="B83" s="275"/>
      <c r="C83" s="212" t="str">
        <f>IFERROR(VLOOKUP(C82,Списки!$E:$F,2,0)," ")</f>
        <v xml:space="preserve"> </v>
      </c>
      <c r="D83" s="277"/>
      <c r="E83" s="213" t="str">
        <f>IFERROR(VLOOKUP(E82,Списки!$E:$F,2,0)," ")</f>
        <v xml:space="preserve"> </v>
      </c>
      <c r="F83" s="277"/>
      <c r="G83" s="279"/>
      <c r="H83" s="280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2"/>
    </row>
    <row r="84" spans="1:20" ht="13.5" customHeight="1" x14ac:dyDescent="0.25">
      <c r="A84" s="274">
        <v>7</v>
      </c>
      <c r="B84" s="274"/>
      <c r="C84" s="211"/>
      <c r="D84" s="276"/>
      <c r="E84" s="211"/>
      <c r="F84" s="276"/>
      <c r="G84" s="278"/>
      <c r="H84" s="280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2"/>
    </row>
    <row r="85" spans="1:20" ht="13.5" customHeight="1" x14ac:dyDescent="0.25">
      <c r="A85" s="275"/>
      <c r="B85" s="275"/>
      <c r="C85" s="213" t="str">
        <f>IFERROR(VLOOKUP(C84,Списки!$E:$F,2,0)," ")</f>
        <v xml:space="preserve"> </v>
      </c>
      <c r="D85" s="277"/>
      <c r="E85" s="212" t="str">
        <f>IFERROR(VLOOKUP(E84,Списки!$E:$F,2,0)," ")</f>
        <v xml:space="preserve"> </v>
      </c>
      <c r="F85" s="277"/>
      <c r="G85" s="279"/>
      <c r="H85" s="280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2"/>
    </row>
    <row r="86" spans="1:20" ht="13.5" customHeight="1" x14ac:dyDescent="0.25">
      <c r="A86" s="274">
        <v>8</v>
      </c>
      <c r="B86" s="274"/>
      <c r="C86" s="211"/>
      <c r="D86" s="276"/>
      <c r="E86" s="211"/>
      <c r="F86" s="276"/>
      <c r="G86" s="278"/>
      <c r="H86" s="280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2"/>
    </row>
    <row r="87" spans="1:20" ht="13.5" customHeight="1" x14ac:dyDescent="0.25">
      <c r="A87" s="275"/>
      <c r="B87" s="275"/>
      <c r="C87" s="213" t="str">
        <f>IFERROR(VLOOKUP(C86,Списки!$E:$F,2,0)," ")</f>
        <v xml:space="preserve"> </v>
      </c>
      <c r="D87" s="277"/>
      <c r="E87" s="212" t="str">
        <f>IFERROR(VLOOKUP(E86,Списки!$E:$F,2,0)," ")</f>
        <v xml:space="preserve"> </v>
      </c>
      <c r="F87" s="277"/>
      <c r="G87" s="279"/>
      <c r="H87" s="280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2"/>
    </row>
    <row r="88" spans="1:20" ht="13.5" customHeight="1" x14ac:dyDescent="0.25">
      <c r="A88" s="274">
        <v>9</v>
      </c>
      <c r="B88" s="274"/>
      <c r="C88" s="211"/>
      <c r="D88" s="276"/>
      <c r="E88" s="211"/>
      <c r="F88" s="276"/>
      <c r="G88" s="278"/>
      <c r="H88" s="280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2"/>
    </row>
    <row r="89" spans="1:20" ht="13.5" customHeight="1" x14ac:dyDescent="0.25">
      <c r="A89" s="275"/>
      <c r="B89" s="275"/>
      <c r="C89" s="212" t="str">
        <f>IFERROR(VLOOKUP(C88,Списки!$E:$F,2,0)," ")</f>
        <v xml:space="preserve"> </v>
      </c>
      <c r="D89" s="277"/>
      <c r="E89" s="212" t="str">
        <f>IFERROR(VLOOKUP(E88,Списки!$E:$F,2,0)," ")</f>
        <v xml:space="preserve"> </v>
      </c>
      <c r="F89" s="277"/>
      <c r="G89" s="279"/>
      <c r="H89" s="280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2"/>
    </row>
    <row r="90" spans="1:20" ht="13.5" customHeight="1" x14ac:dyDescent="0.25">
      <c r="A90" s="274">
        <v>10</v>
      </c>
      <c r="B90" s="274"/>
      <c r="C90" s="211"/>
      <c r="D90" s="276"/>
      <c r="E90" s="211"/>
      <c r="F90" s="276"/>
      <c r="G90" s="278"/>
      <c r="H90" s="280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2"/>
    </row>
    <row r="91" spans="1:20" ht="13.5" customHeight="1" x14ac:dyDescent="0.25">
      <c r="A91" s="275"/>
      <c r="B91" s="275"/>
      <c r="C91" s="212" t="str">
        <f>IFERROR(VLOOKUP(C90,Списки!$E:$F,2,0)," ")</f>
        <v xml:space="preserve"> </v>
      </c>
      <c r="D91" s="277"/>
      <c r="E91" s="212" t="str">
        <f>IFERROR(VLOOKUP(E90,Списки!$E:$F,2,0)," ")</f>
        <v xml:space="preserve"> </v>
      </c>
      <c r="F91" s="277"/>
      <c r="G91" s="279"/>
      <c r="H91" s="280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2"/>
    </row>
    <row r="92" spans="1:20" ht="13.5" customHeight="1" x14ac:dyDescent="0.25">
      <c r="A92" s="274">
        <v>11</v>
      </c>
      <c r="B92" s="274"/>
      <c r="C92" s="211"/>
      <c r="D92" s="276"/>
      <c r="E92" s="211"/>
      <c r="F92" s="276"/>
      <c r="G92" s="278"/>
      <c r="H92" s="280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2"/>
    </row>
    <row r="93" spans="1:20" ht="13.5" customHeight="1" x14ac:dyDescent="0.25">
      <c r="A93" s="275"/>
      <c r="B93" s="275"/>
      <c r="C93" s="212" t="str">
        <f>IFERROR(VLOOKUP(C92,Списки!$E:$F,2,0)," ")</f>
        <v xml:space="preserve"> </v>
      </c>
      <c r="D93" s="277"/>
      <c r="E93" s="212" t="str">
        <f>IFERROR(VLOOKUP(E92,Списки!$E:$F,2,0)," ")</f>
        <v xml:space="preserve"> </v>
      </c>
      <c r="F93" s="277"/>
      <c r="G93" s="279"/>
      <c r="H93" s="280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2"/>
    </row>
    <row r="94" spans="1:20" ht="13.5" customHeight="1" x14ac:dyDescent="0.25">
      <c r="A94" s="274">
        <v>12</v>
      </c>
      <c r="B94" s="274"/>
      <c r="C94" s="211"/>
      <c r="D94" s="276"/>
      <c r="E94" s="211"/>
      <c r="F94" s="276"/>
      <c r="G94" s="278"/>
      <c r="H94" s="280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2"/>
    </row>
    <row r="95" spans="1:20" ht="13.5" customHeight="1" x14ac:dyDescent="0.25">
      <c r="A95" s="275"/>
      <c r="B95" s="275"/>
      <c r="C95" s="212" t="str">
        <f>IFERROR(VLOOKUP(C94,Списки!$E:$F,2,0)," ")</f>
        <v xml:space="preserve"> </v>
      </c>
      <c r="D95" s="277"/>
      <c r="E95" s="212" t="str">
        <f>IFERROR(VLOOKUP(E94,Списки!$E:$F,2,0)," ")</f>
        <v xml:space="preserve"> </v>
      </c>
      <c r="F95" s="277"/>
      <c r="G95" s="279"/>
      <c r="H95" s="280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2"/>
    </row>
    <row r="96" spans="1:20" ht="13.5" customHeight="1" x14ac:dyDescent="0.25">
      <c r="A96" s="274">
        <v>13</v>
      </c>
      <c r="B96" s="274"/>
      <c r="C96" s="211"/>
      <c r="D96" s="276"/>
      <c r="E96" s="211"/>
      <c r="F96" s="276"/>
      <c r="G96" s="278"/>
      <c r="H96" s="280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2"/>
    </row>
    <row r="97" spans="1:20" ht="13.5" customHeight="1" x14ac:dyDescent="0.25">
      <c r="A97" s="275"/>
      <c r="B97" s="275"/>
      <c r="C97" s="212" t="str">
        <f>IFERROR(VLOOKUP(C96,Списки!$E:$F,2,0)," ")</f>
        <v xml:space="preserve"> </v>
      </c>
      <c r="D97" s="277"/>
      <c r="E97" s="212" t="str">
        <f>IFERROR(VLOOKUP(E96,Списки!$E:$F,2,0)," ")</f>
        <v xml:space="preserve"> </v>
      </c>
      <c r="F97" s="277"/>
      <c r="G97" s="279"/>
      <c r="H97" s="280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2"/>
    </row>
    <row r="98" spans="1:20" ht="13.5" customHeight="1" x14ac:dyDescent="0.25">
      <c r="A98" s="274">
        <v>14</v>
      </c>
      <c r="B98" s="274"/>
      <c r="C98" s="211"/>
      <c r="D98" s="276"/>
      <c r="E98" s="211"/>
      <c r="F98" s="276"/>
      <c r="G98" s="278"/>
      <c r="H98" s="280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2"/>
    </row>
    <row r="99" spans="1:20" ht="13.5" customHeight="1" x14ac:dyDescent="0.25">
      <c r="A99" s="275"/>
      <c r="B99" s="275"/>
      <c r="C99" s="212" t="str">
        <f>IFERROR(VLOOKUP(C98,Списки!$E:$F,2,0)," ")</f>
        <v xml:space="preserve"> </v>
      </c>
      <c r="D99" s="277"/>
      <c r="E99" s="212" t="str">
        <f>IFERROR(VLOOKUP(E98,Списки!$E:$F,2,0)," ")</f>
        <v xml:space="preserve"> </v>
      </c>
      <c r="F99" s="277"/>
      <c r="G99" s="279"/>
      <c r="H99" s="280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2"/>
    </row>
    <row r="100" spans="1:20" ht="13.5" customHeight="1" x14ac:dyDescent="0.25">
      <c r="A100" s="274">
        <v>15</v>
      </c>
      <c r="B100" s="274"/>
      <c r="C100" s="211"/>
      <c r="D100" s="276"/>
      <c r="E100" s="211"/>
      <c r="F100" s="276"/>
      <c r="G100" s="278"/>
      <c r="H100" s="280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2"/>
    </row>
    <row r="101" spans="1:20" ht="13.5" customHeight="1" x14ac:dyDescent="0.25">
      <c r="A101" s="275"/>
      <c r="B101" s="275"/>
      <c r="C101" s="212" t="str">
        <f>IFERROR(VLOOKUP(C100,Списки!$E:$F,2,0)," ")</f>
        <v xml:space="preserve"> </v>
      </c>
      <c r="D101" s="277"/>
      <c r="E101" s="212" t="str">
        <f>IFERROR(VLOOKUP(E100,Списки!$E:$F,2,0)," ")</f>
        <v xml:space="preserve"> </v>
      </c>
      <c r="F101" s="277"/>
      <c r="G101" s="279"/>
      <c r="H101" s="280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2"/>
    </row>
    <row r="102" spans="1:20" x14ac:dyDescent="0.25">
      <c r="A102" s="214"/>
      <c r="B102" s="215"/>
      <c r="C102" s="214"/>
      <c r="D102" s="214"/>
      <c r="E102" s="216" t="s">
        <v>30</v>
      </c>
      <c r="F102" s="217">
        <f>IFERROR(SUM(IFERROR(IF((LOOKUP(9E+307,F72:F101))&gt;$M$39,(LOOKUP(9E+307,F72:F101))-$M$39,IF((LOOKUP(9E+307,F72:F101))&lt;0.166666667,0+(LOOKUP(9E+307,F72:F101))+1-$M$39,0)),0),(IF(AND(IF(D72,$M$38-D72,0)&gt;0,F72,F72&gt;D72),$M$38-D72,IF(AND(D72,F72,D72&gt;F72),"error",0)))),"ОШИБКА")</f>
        <v>0</v>
      </c>
      <c r="G102" s="218" t="s">
        <v>27</v>
      </c>
      <c r="H102" s="216">
        <f>SUM(H72:H101)</f>
        <v>0</v>
      </c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2"/>
    </row>
    <row r="103" spans="1:20" ht="15.75" x14ac:dyDescent="0.25">
      <c r="A103" s="283">
        <f>DATE(K1,J1,4)</f>
        <v>43834</v>
      </c>
      <c r="B103" s="283"/>
      <c r="C103" s="283"/>
      <c r="D103" s="283"/>
      <c r="E103" s="283"/>
      <c r="F103" s="283"/>
      <c r="G103" s="283"/>
      <c r="H103" s="306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2"/>
    </row>
    <row r="104" spans="1:20" ht="13.5" customHeight="1" x14ac:dyDescent="0.25">
      <c r="A104" s="291"/>
      <c r="B104" s="292" t="s">
        <v>34</v>
      </c>
      <c r="C104" s="219" t="s">
        <v>39</v>
      </c>
      <c r="D104" s="292" t="s">
        <v>36</v>
      </c>
      <c r="E104" s="219" t="s">
        <v>37</v>
      </c>
      <c r="F104" s="292" t="s">
        <v>36</v>
      </c>
      <c r="G104" s="293" t="s">
        <v>35</v>
      </c>
      <c r="H104" s="280" t="s">
        <v>40</v>
      </c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2"/>
    </row>
    <row r="105" spans="1:20" ht="13.5" customHeight="1" x14ac:dyDescent="0.25">
      <c r="A105" s="285"/>
      <c r="B105" s="288"/>
      <c r="C105" s="210" t="s">
        <v>38</v>
      </c>
      <c r="D105" s="288"/>
      <c r="E105" s="210" t="s">
        <v>38</v>
      </c>
      <c r="F105" s="288"/>
      <c r="G105" s="294"/>
      <c r="H105" s="280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2"/>
    </row>
    <row r="106" spans="1:20" ht="13.5" customHeight="1" x14ac:dyDescent="0.25">
      <c r="A106" s="274">
        <v>1</v>
      </c>
      <c r="B106" s="274"/>
      <c r="C106" s="211" t="s">
        <v>43</v>
      </c>
      <c r="D106" s="276"/>
      <c r="E106" s="211" t="s">
        <v>44</v>
      </c>
      <c r="F106" s="276"/>
      <c r="G106" s="278"/>
      <c r="H106" s="280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2"/>
    </row>
    <row r="107" spans="1:20" ht="13.5" customHeight="1" x14ac:dyDescent="0.25">
      <c r="A107" s="275"/>
      <c r="B107" s="275"/>
      <c r="C107" s="212" t="str">
        <f>IFERROR(VLOOKUP(C106,Списки!$E:$F,2,0)," ")</f>
        <v>SAVUSHKINA ST 128</v>
      </c>
      <c r="D107" s="277"/>
      <c r="E107" s="212" t="str">
        <f>IFERROR(VLOOKUP(E106,Списки!$E:$F,2,0)," ")</f>
        <v>LEVASHOVSKOE HWY 20</v>
      </c>
      <c r="F107" s="277"/>
      <c r="G107" s="279"/>
      <c r="H107" s="280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2"/>
    </row>
    <row r="108" spans="1:20" ht="13.5" customHeight="1" x14ac:dyDescent="0.25">
      <c r="A108" s="274">
        <v>2</v>
      </c>
      <c r="B108" s="274"/>
      <c r="C108" s="211" t="s">
        <v>44</v>
      </c>
      <c r="D108" s="276"/>
      <c r="E108" s="211"/>
      <c r="F108" s="276"/>
      <c r="G108" s="278"/>
      <c r="H108" s="280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2"/>
    </row>
    <row r="109" spans="1:20" ht="13.5" customHeight="1" x14ac:dyDescent="0.25">
      <c r="A109" s="275"/>
      <c r="B109" s="275"/>
      <c r="C109" s="212" t="str">
        <f>IFERROR(VLOOKUP(C108,Списки!$E:$F,2,0)," ")</f>
        <v>LEVASHOVSKOE HWY 20</v>
      </c>
      <c r="D109" s="277"/>
      <c r="E109" s="212" t="str">
        <f>IFERROR(VLOOKUP(E108,Списки!$E:$F,2,0)," ")</f>
        <v xml:space="preserve"> </v>
      </c>
      <c r="F109" s="277"/>
      <c r="G109" s="279"/>
      <c r="H109" s="280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2"/>
    </row>
    <row r="110" spans="1:20" ht="13.5" customHeight="1" x14ac:dyDescent="0.25">
      <c r="A110" s="274">
        <v>3</v>
      </c>
      <c r="B110" s="274"/>
      <c r="C110" s="211"/>
      <c r="D110" s="276"/>
      <c r="E110" s="211"/>
      <c r="F110" s="276"/>
      <c r="G110" s="278"/>
      <c r="H110" s="280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2"/>
    </row>
    <row r="111" spans="1:20" ht="13.5" customHeight="1" x14ac:dyDescent="0.25">
      <c r="A111" s="275"/>
      <c r="B111" s="275"/>
      <c r="C111" s="212" t="str">
        <f>IFERROR(VLOOKUP(C110,Списки!$E:$F,2,0)," ")</f>
        <v xml:space="preserve"> </v>
      </c>
      <c r="D111" s="277"/>
      <c r="E111" s="212" t="str">
        <f>IFERROR(VLOOKUP(E110,Списки!$E:$F,2,0)," ")</f>
        <v xml:space="preserve"> </v>
      </c>
      <c r="F111" s="277"/>
      <c r="G111" s="279"/>
      <c r="H111" s="280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2"/>
    </row>
    <row r="112" spans="1:20" ht="13.5" customHeight="1" x14ac:dyDescent="0.25">
      <c r="A112" s="274">
        <v>4</v>
      </c>
      <c r="B112" s="274"/>
      <c r="C112" s="211"/>
      <c r="D112" s="276"/>
      <c r="E112" s="211"/>
      <c r="F112" s="276"/>
      <c r="G112" s="278"/>
      <c r="H112" s="280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2"/>
    </row>
    <row r="113" spans="1:20" ht="13.5" customHeight="1" x14ac:dyDescent="0.25">
      <c r="A113" s="275"/>
      <c r="B113" s="275"/>
      <c r="C113" s="212" t="str">
        <f>IFERROR(VLOOKUP(C112,Списки!$E:$F,2,0)," ")</f>
        <v xml:space="preserve"> </v>
      </c>
      <c r="D113" s="277"/>
      <c r="E113" s="212" t="str">
        <f>IFERROR(VLOOKUP(E112,Списки!$E:$F,2,0)," ")</f>
        <v xml:space="preserve"> </v>
      </c>
      <c r="F113" s="277"/>
      <c r="G113" s="279"/>
      <c r="H113" s="280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2"/>
    </row>
    <row r="114" spans="1:20" ht="13.5" customHeight="1" x14ac:dyDescent="0.25">
      <c r="A114" s="274">
        <v>5</v>
      </c>
      <c r="B114" s="274"/>
      <c r="C114" s="211"/>
      <c r="D114" s="276"/>
      <c r="E114" s="213"/>
      <c r="F114" s="276"/>
      <c r="G114" s="278"/>
      <c r="H114" s="280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2"/>
    </row>
    <row r="115" spans="1:20" ht="13.5" customHeight="1" x14ac:dyDescent="0.25">
      <c r="A115" s="275"/>
      <c r="B115" s="275"/>
      <c r="C115" s="212" t="str">
        <f>IFERROR(VLOOKUP(C114,Списки!$E:$F,2,0)," ")</f>
        <v xml:space="preserve"> </v>
      </c>
      <c r="D115" s="277"/>
      <c r="E115" s="213" t="str">
        <f>IFERROR(VLOOKUP(E114,Списки!$E:$F,2,0)," ")</f>
        <v xml:space="preserve"> </v>
      </c>
      <c r="F115" s="277"/>
      <c r="G115" s="279"/>
      <c r="H115" s="280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2"/>
    </row>
    <row r="116" spans="1:20" ht="13.5" customHeight="1" x14ac:dyDescent="0.25">
      <c r="A116" s="274">
        <v>6</v>
      </c>
      <c r="B116" s="274"/>
      <c r="C116" s="211"/>
      <c r="D116" s="276"/>
      <c r="E116" s="211"/>
      <c r="F116" s="276"/>
      <c r="G116" s="278"/>
      <c r="H116" s="280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2"/>
    </row>
    <row r="117" spans="1:20" ht="13.5" customHeight="1" x14ac:dyDescent="0.25">
      <c r="A117" s="275"/>
      <c r="B117" s="275"/>
      <c r="C117" s="212" t="str">
        <f>IFERROR(VLOOKUP(C116,Списки!$E:$F,2,0)," ")</f>
        <v xml:space="preserve"> </v>
      </c>
      <c r="D117" s="277"/>
      <c r="E117" s="213" t="str">
        <f>IFERROR(VLOOKUP(E116,Списки!$E:$F,2,0)," ")</f>
        <v xml:space="preserve"> </v>
      </c>
      <c r="F117" s="277"/>
      <c r="G117" s="279"/>
      <c r="H117" s="280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2"/>
    </row>
    <row r="118" spans="1:20" ht="13.5" customHeight="1" x14ac:dyDescent="0.25">
      <c r="A118" s="274">
        <v>7</v>
      </c>
      <c r="B118" s="274"/>
      <c r="C118" s="211"/>
      <c r="D118" s="276"/>
      <c r="E118" s="211"/>
      <c r="F118" s="276"/>
      <c r="G118" s="278"/>
      <c r="H118" s="280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2"/>
    </row>
    <row r="119" spans="1:20" ht="13.5" customHeight="1" x14ac:dyDescent="0.25">
      <c r="A119" s="275"/>
      <c r="B119" s="275"/>
      <c r="C119" s="213" t="str">
        <f>IFERROR(VLOOKUP(C118,Списки!$E:$F,2,0)," ")</f>
        <v xml:space="preserve"> </v>
      </c>
      <c r="D119" s="277"/>
      <c r="E119" s="212" t="str">
        <f>IFERROR(VLOOKUP(E118,Списки!$E:$F,2,0)," ")</f>
        <v xml:space="preserve"> </v>
      </c>
      <c r="F119" s="277"/>
      <c r="G119" s="279"/>
      <c r="H119" s="280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2"/>
    </row>
    <row r="120" spans="1:20" ht="13.5" customHeight="1" x14ac:dyDescent="0.25">
      <c r="A120" s="274">
        <v>8</v>
      </c>
      <c r="B120" s="274"/>
      <c r="C120" s="211"/>
      <c r="D120" s="276"/>
      <c r="E120" s="211"/>
      <c r="F120" s="276"/>
      <c r="G120" s="278"/>
      <c r="H120" s="280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2"/>
    </row>
    <row r="121" spans="1:20" ht="13.5" customHeight="1" x14ac:dyDescent="0.25">
      <c r="A121" s="275"/>
      <c r="B121" s="275"/>
      <c r="C121" s="213" t="str">
        <f>IFERROR(VLOOKUP(C120,Списки!$E:$F,2,0)," ")</f>
        <v xml:space="preserve"> </v>
      </c>
      <c r="D121" s="277"/>
      <c r="E121" s="212" t="str">
        <f>IFERROR(VLOOKUP(E120,Списки!$E:$F,2,0)," ")</f>
        <v xml:space="preserve"> </v>
      </c>
      <c r="F121" s="277"/>
      <c r="G121" s="279"/>
      <c r="H121" s="280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2"/>
    </row>
    <row r="122" spans="1:20" ht="13.5" customHeight="1" x14ac:dyDescent="0.25">
      <c r="A122" s="274">
        <v>9</v>
      </c>
      <c r="B122" s="274"/>
      <c r="C122" s="211"/>
      <c r="D122" s="276"/>
      <c r="E122" s="211"/>
      <c r="F122" s="276"/>
      <c r="G122" s="278"/>
      <c r="H122" s="280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2"/>
    </row>
    <row r="123" spans="1:20" ht="13.5" customHeight="1" x14ac:dyDescent="0.25">
      <c r="A123" s="275"/>
      <c r="B123" s="275"/>
      <c r="C123" s="212" t="str">
        <f>IFERROR(VLOOKUP(C122,Списки!$E:$F,2,0)," ")</f>
        <v xml:space="preserve"> </v>
      </c>
      <c r="D123" s="277"/>
      <c r="E123" s="212" t="str">
        <f>IFERROR(VLOOKUP(E122,Списки!$E:$F,2,0)," ")</f>
        <v xml:space="preserve"> </v>
      </c>
      <c r="F123" s="277"/>
      <c r="G123" s="279"/>
      <c r="H123" s="280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2"/>
    </row>
    <row r="124" spans="1:20" ht="13.5" customHeight="1" x14ac:dyDescent="0.25">
      <c r="A124" s="274">
        <v>10</v>
      </c>
      <c r="B124" s="274"/>
      <c r="C124" s="211"/>
      <c r="D124" s="276"/>
      <c r="E124" s="211"/>
      <c r="F124" s="276"/>
      <c r="G124" s="278"/>
      <c r="H124" s="280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2"/>
    </row>
    <row r="125" spans="1:20" ht="13.5" customHeight="1" x14ac:dyDescent="0.25">
      <c r="A125" s="275"/>
      <c r="B125" s="275"/>
      <c r="C125" s="212" t="str">
        <f>IFERROR(VLOOKUP(C124,Списки!$E:$F,2,0)," ")</f>
        <v xml:space="preserve"> </v>
      </c>
      <c r="D125" s="277"/>
      <c r="E125" s="212" t="str">
        <f>IFERROR(VLOOKUP(E124,Списки!$E:$F,2,0)," ")</f>
        <v xml:space="preserve"> </v>
      </c>
      <c r="F125" s="277"/>
      <c r="G125" s="279"/>
      <c r="H125" s="280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2"/>
    </row>
    <row r="126" spans="1:20" ht="13.5" customHeight="1" x14ac:dyDescent="0.25">
      <c r="A126" s="274">
        <v>11</v>
      </c>
      <c r="B126" s="274"/>
      <c r="C126" s="211"/>
      <c r="D126" s="276"/>
      <c r="E126" s="211"/>
      <c r="F126" s="276"/>
      <c r="G126" s="278"/>
      <c r="H126" s="280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2"/>
    </row>
    <row r="127" spans="1:20" ht="13.5" customHeight="1" x14ac:dyDescent="0.25">
      <c r="A127" s="275"/>
      <c r="B127" s="275"/>
      <c r="C127" s="212" t="str">
        <f>IFERROR(VLOOKUP(C126,Списки!$E:$F,2,0)," ")</f>
        <v xml:space="preserve"> </v>
      </c>
      <c r="D127" s="277"/>
      <c r="E127" s="212" t="str">
        <f>IFERROR(VLOOKUP(E126,Списки!$E:$F,2,0)," ")</f>
        <v xml:space="preserve"> </v>
      </c>
      <c r="F127" s="277"/>
      <c r="G127" s="279"/>
      <c r="H127" s="280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2"/>
    </row>
    <row r="128" spans="1:20" ht="13.5" customHeight="1" x14ac:dyDescent="0.25">
      <c r="A128" s="274">
        <v>12</v>
      </c>
      <c r="B128" s="274"/>
      <c r="C128" s="211"/>
      <c r="D128" s="276"/>
      <c r="E128" s="211"/>
      <c r="F128" s="276"/>
      <c r="G128" s="278"/>
      <c r="H128" s="280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2"/>
    </row>
    <row r="129" spans="1:20" ht="13.5" customHeight="1" x14ac:dyDescent="0.25">
      <c r="A129" s="275"/>
      <c r="B129" s="275"/>
      <c r="C129" s="212" t="str">
        <f>IFERROR(VLOOKUP(C128,Списки!$E:$F,2,0)," ")</f>
        <v xml:space="preserve"> </v>
      </c>
      <c r="D129" s="277"/>
      <c r="E129" s="212" t="str">
        <f>IFERROR(VLOOKUP(E128,Списки!$E:$F,2,0)," ")</f>
        <v xml:space="preserve"> </v>
      </c>
      <c r="F129" s="277"/>
      <c r="G129" s="279"/>
      <c r="H129" s="280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2"/>
    </row>
    <row r="130" spans="1:20" ht="13.5" customHeight="1" x14ac:dyDescent="0.25">
      <c r="A130" s="274">
        <v>13</v>
      </c>
      <c r="B130" s="274"/>
      <c r="C130" s="211"/>
      <c r="D130" s="276"/>
      <c r="E130" s="211"/>
      <c r="F130" s="276"/>
      <c r="G130" s="278"/>
      <c r="H130" s="280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2"/>
    </row>
    <row r="131" spans="1:20" ht="13.5" customHeight="1" x14ac:dyDescent="0.25">
      <c r="A131" s="275"/>
      <c r="B131" s="275"/>
      <c r="C131" s="212" t="str">
        <f>IFERROR(VLOOKUP(C130,Списки!$E:$F,2,0)," ")</f>
        <v xml:space="preserve"> </v>
      </c>
      <c r="D131" s="277"/>
      <c r="E131" s="212" t="str">
        <f>IFERROR(VLOOKUP(E130,Списки!$E:$F,2,0)," ")</f>
        <v xml:space="preserve"> </v>
      </c>
      <c r="F131" s="277"/>
      <c r="G131" s="279"/>
      <c r="H131" s="280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2"/>
    </row>
    <row r="132" spans="1:20" ht="13.5" customHeight="1" x14ac:dyDescent="0.25">
      <c r="A132" s="274">
        <v>14</v>
      </c>
      <c r="B132" s="274"/>
      <c r="C132" s="211"/>
      <c r="D132" s="276"/>
      <c r="E132" s="211"/>
      <c r="F132" s="276"/>
      <c r="G132" s="278"/>
      <c r="H132" s="280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2"/>
    </row>
    <row r="133" spans="1:20" ht="13.5" customHeight="1" x14ac:dyDescent="0.25">
      <c r="A133" s="275"/>
      <c r="B133" s="275"/>
      <c r="C133" s="212" t="str">
        <f>IFERROR(VLOOKUP(C132,Списки!$E:$F,2,0)," ")</f>
        <v xml:space="preserve"> </v>
      </c>
      <c r="D133" s="277"/>
      <c r="E133" s="212" t="str">
        <f>IFERROR(VLOOKUP(E132,Списки!$E:$F,2,0)," ")</f>
        <v xml:space="preserve"> </v>
      </c>
      <c r="F133" s="277"/>
      <c r="G133" s="279"/>
      <c r="H133" s="280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2"/>
    </row>
    <row r="134" spans="1:20" ht="13.5" customHeight="1" x14ac:dyDescent="0.25">
      <c r="A134" s="274">
        <v>15</v>
      </c>
      <c r="B134" s="274"/>
      <c r="C134" s="211"/>
      <c r="D134" s="276"/>
      <c r="E134" s="211"/>
      <c r="F134" s="276"/>
      <c r="G134" s="278"/>
      <c r="H134" s="280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2"/>
    </row>
    <row r="135" spans="1:20" ht="13.5" customHeight="1" x14ac:dyDescent="0.25">
      <c r="A135" s="275"/>
      <c r="B135" s="275"/>
      <c r="C135" s="212" t="str">
        <f>IFERROR(VLOOKUP(C134,Списки!$E:$F,2,0)," ")</f>
        <v xml:space="preserve"> </v>
      </c>
      <c r="D135" s="277"/>
      <c r="E135" s="212" t="str">
        <f>IFERROR(VLOOKUP(E134,Списки!$E:$F,2,0)," ")</f>
        <v xml:space="preserve"> </v>
      </c>
      <c r="F135" s="277"/>
      <c r="G135" s="279"/>
      <c r="H135" s="280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2"/>
    </row>
    <row r="136" spans="1:20" x14ac:dyDescent="0.25">
      <c r="A136" s="214"/>
      <c r="B136" s="215"/>
      <c r="C136" s="214"/>
      <c r="D136" s="214"/>
      <c r="E136" s="216" t="s">
        <v>30</v>
      </c>
      <c r="F136" s="217">
        <f>IFERROR(SUM(IFERROR(IF((LOOKUP(9E+307,F106:F135))&gt;$M$39,(LOOKUP(9E+307,F106:F135))-$M$39,IF((LOOKUP(9E+307,F106:F135))&lt;0.166666667,0+(LOOKUP(9E+307,F106:F135))+1-$M$39,0)),0),(IF(AND(IF(D106,$M$38-D106,0)&gt;0,F106,F106&gt;D106),$M$38-D106,IF(AND(D106,F106,D106&gt;F106),"error",0)))),"ОШИБКА")</f>
        <v>0</v>
      </c>
      <c r="G136" s="218" t="s">
        <v>27</v>
      </c>
      <c r="H136" s="216">
        <f>SUM(H106:H135)</f>
        <v>0</v>
      </c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2"/>
    </row>
    <row r="137" spans="1:20" ht="15.75" x14ac:dyDescent="0.25">
      <c r="A137" s="283">
        <f>DATE(K1,J1,5)</f>
        <v>43835</v>
      </c>
      <c r="B137" s="283"/>
      <c r="C137" s="283"/>
      <c r="D137" s="283"/>
      <c r="E137" s="283"/>
      <c r="F137" s="283"/>
      <c r="G137" s="283"/>
      <c r="H137" s="306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2"/>
    </row>
    <row r="138" spans="1:20" ht="13.5" customHeight="1" x14ac:dyDescent="0.25">
      <c r="A138" s="291"/>
      <c r="B138" s="292" t="s">
        <v>34</v>
      </c>
      <c r="C138" s="219" t="s">
        <v>39</v>
      </c>
      <c r="D138" s="292" t="s">
        <v>36</v>
      </c>
      <c r="E138" s="219" t="s">
        <v>37</v>
      </c>
      <c r="F138" s="292" t="s">
        <v>36</v>
      </c>
      <c r="G138" s="293" t="s">
        <v>35</v>
      </c>
      <c r="H138" s="280" t="s">
        <v>40</v>
      </c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2"/>
    </row>
    <row r="139" spans="1:20" ht="13.5" customHeight="1" x14ac:dyDescent="0.25">
      <c r="A139" s="285"/>
      <c r="B139" s="288"/>
      <c r="C139" s="210" t="s">
        <v>38</v>
      </c>
      <c r="D139" s="288"/>
      <c r="E139" s="210" t="s">
        <v>38</v>
      </c>
      <c r="F139" s="288"/>
      <c r="G139" s="294"/>
      <c r="H139" s="280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2"/>
    </row>
    <row r="140" spans="1:20" ht="13.5" customHeight="1" x14ac:dyDescent="0.25">
      <c r="A140" s="274">
        <v>1</v>
      </c>
      <c r="B140" s="274"/>
      <c r="C140" s="211" t="s">
        <v>43</v>
      </c>
      <c r="D140" s="276"/>
      <c r="E140" s="211" t="s">
        <v>44</v>
      </c>
      <c r="F140" s="276"/>
      <c r="G140" s="278"/>
      <c r="H140" s="280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2"/>
    </row>
    <row r="141" spans="1:20" ht="13.5" customHeight="1" x14ac:dyDescent="0.25">
      <c r="A141" s="275"/>
      <c r="B141" s="275"/>
      <c r="C141" s="212" t="str">
        <f>IFERROR(VLOOKUP(C140,Списки!$E:$F,2,0)," ")</f>
        <v>SAVUSHKINA ST 128</v>
      </c>
      <c r="D141" s="277"/>
      <c r="E141" s="212" t="str">
        <f>IFERROR(VLOOKUP(E140,Списки!$E:$F,2,0)," ")</f>
        <v>LEVASHOVSKOE HWY 20</v>
      </c>
      <c r="F141" s="277"/>
      <c r="G141" s="279"/>
      <c r="H141" s="280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2"/>
    </row>
    <row r="142" spans="1:20" ht="13.5" customHeight="1" x14ac:dyDescent="0.25">
      <c r="A142" s="274">
        <v>2</v>
      </c>
      <c r="B142" s="274"/>
      <c r="C142" s="211" t="s">
        <v>44</v>
      </c>
      <c r="D142" s="276"/>
      <c r="E142" s="211"/>
      <c r="F142" s="276"/>
      <c r="G142" s="278"/>
      <c r="H142" s="280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2"/>
    </row>
    <row r="143" spans="1:20" ht="13.5" customHeight="1" x14ac:dyDescent="0.25">
      <c r="A143" s="275"/>
      <c r="B143" s="275"/>
      <c r="C143" s="212" t="str">
        <f>IFERROR(VLOOKUP(C142,Списки!$E:$F,2,0)," ")</f>
        <v>LEVASHOVSKOE HWY 20</v>
      </c>
      <c r="D143" s="277"/>
      <c r="E143" s="212" t="str">
        <f>IFERROR(VLOOKUP(E142,Списки!$E:$F,2,0)," ")</f>
        <v xml:space="preserve"> </v>
      </c>
      <c r="F143" s="277"/>
      <c r="G143" s="279"/>
      <c r="H143" s="280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2"/>
    </row>
    <row r="144" spans="1:20" ht="13.5" customHeight="1" x14ac:dyDescent="0.25">
      <c r="A144" s="274">
        <v>3</v>
      </c>
      <c r="B144" s="274"/>
      <c r="C144" s="211"/>
      <c r="D144" s="276"/>
      <c r="E144" s="211"/>
      <c r="F144" s="276"/>
      <c r="G144" s="278"/>
      <c r="H144" s="280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2"/>
    </row>
    <row r="145" spans="1:20" ht="13.5" customHeight="1" x14ac:dyDescent="0.25">
      <c r="A145" s="275"/>
      <c r="B145" s="275"/>
      <c r="C145" s="212" t="str">
        <f>IFERROR(VLOOKUP(C144,Списки!$E:$F,2,0)," ")</f>
        <v xml:space="preserve"> </v>
      </c>
      <c r="D145" s="277"/>
      <c r="E145" s="212" t="str">
        <f>IFERROR(VLOOKUP(E144,Списки!$E:$F,2,0)," ")</f>
        <v xml:space="preserve"> </v>
      </c>
      <c r="F145" s="277"/>
      <c r="G145" s="279"/>
      <c r="H145" s="280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2"/>
    </row>
    <row r="146" spans="1:20" ht="13.5" customHeight="1" x14ac:dyDescent="0.25">
      <c r="A146" s="274">
        <v>4</v>
      </c>
      <c r="B146" s="274"/>
      <c r="C146" s="211"/>
      <c r="D146" s="276"/>
      <c r="E146" s="211"/>
      <c r="F146" s="276"/>
      <c r="G146" s="278"/>
      <c r="H146" s="280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2"/>
    </row>
    <row r="147" spans="1:20" ht="13.5" customHeight="1" x14ac:dyDescent="0.25">
      <c r="A147" s="275"/>
      <c r="B147" s="275"/>
      <c r="C147" s="212" t="str">
        <f>IFERROR(VLOOKUP(C146,Списки!$E:$F,2,0)," ")</f>
        <v xml:space="preserve"> </v>
      </c>
      <c r="D147" s="277"/>
      <c r="E147" s="212" t="str">
        <f>IFERROR(VLOOKUP(E146,Списки!$E:$F,2,0)," ")</f>
        <v xml:space="preserve"> </v>
      </c>
      <c r="F147" s="277"/>
      <c r="G147" s="279"/>
      <c r="H147" s="280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2"/>
    </row>
    <row r="148" spans="1:20" ht="13.5" customHeight="1" x14ac:dyDescent="0.25">
      <c r="A148" s="274">
        <v>5</v>
      </c>
      <c r="B148" s="274"/>
      <c r="C148" s="211"/>
      <c r="D148" s="276"/>
      <c r="E148" s="213"/>
      <c r="F148" s="276"/>
      <c r="G148" s="278"/>
      <c r="H148" s="280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2"/>
    </row>
    <row r="149" spans="1:20" ht="13.5" customHeight="1" x14ac:dyDescent="0.25">
      <c r="A149" s="275"/>
      <c r="B149" s="275"/>
      <c r="C149" s="212" t="str">
        <f>IFERROR(VLOOKUP(C148,Списки!$E:$F,2,0)," ")</f>
        <v xml:space="preserve"> </v>
      </c>
      <c r="D149" s="277"/>
      <c r="E149" s="213" t="str">
        <f>IFERROR(VLOOKUP(E148,Списки!$E:$F,2,0)," ")</f>
        <v xml:space="preserve"> </v>
      </c>
      <c r="F149" s="277"/>
      <c r="G149" s="279"/>
      <c r="H149" s="280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2"/>
    </row>
    <row r="150" spans="1:20" ht="13.5" customHeight="1" x14ac:dyDescent="0.25">
      <c r="A150" s="274">
        <v>6</v>
      </c>
      <c r="B150" s="274"/>
      <c r="C150" s="211"/>
      <c r="D150" s="276"/>
      <c r="E150" s="211"/>
      <c r="F150" s="276"/>
      <c r="G150" s="278"/>
      <c r="H150" s="280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2"/>
    </row>
    <row r="151" spans="1:20" ht="13.5" customHeight="1" x14ac:dyDescent="0.25">
      <c r="A151" s="275"/>
      <c r="B151" s="275"/>
      <c r="C151" s="212" t="str">
        <f>IFERROR(VLOOKUP(C150,Списки!$E:$F,2,0)," ")</f>
        <v xml:space="preserve"> </v>
      </c>
      <c r="D151" s="277"/>
      <c r="E151" s="213" t="str">
        <f>IFERROR(VLOOKUP(E150,Списки!$E:$F,2,0)," ")</f>
        <v xml:space="preserve"> </v>
      </c>
      <c r="F151" s="277"/>
      <c r="G151" s="279"/>
      <c r="H151" s="280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2"/>
    </row>
    <row r="152" spans="1:20" ht="13.5" customHeight="1" x14ac:dyDescent="0.25">
      <c r="A152" s="274">
        <v>7</v>
      </c>
      <c r="B152" s="274"/>
      <c r="C152" s="211"/>
      <c r="D152" s="276"/>
      <c r="E152" s="211"/>
      <c r="F152" s="276"/>
      <c r="G152" s="278"/>
      <c r="H152" s="280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2"/>
    </row>
    <row r="153" spans="1:20" ht="13.5" customHeight="1" x14ac:dyDescent="0.25">
      <c r="A153" s="275"/>
      <c r="B153" s="275"/>
      <c r="C153" s="213" t="str">
        <f>IFERROR(VLOOKUP(C152,Списки!$E:$F,2,0)," ")</f>
        <v xml:space="preserve"> </v>
      </c>
      <c r="D153" s="277"/>
      <c r="E153" s="212" t="str">
        <f>IFERROR(VLOOKUP(E152,Списки!$E:$F,2,0)," ")</f>
        <v xml:space="preserve"> </v>
      </c>
      <c r="F153" s="277"/>
      <c r="G153" s="279"/>
      <c r="H153" s="280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2"/>
    </row>
    <row r="154" spans="1:20" ht="13.5" customHeight="1" x14ac:dyDescent="0.25">
      <c r="A154" s="274">
        <v>8</v>
      </c>
      <c r="B154" s="274"/>
      <c r="C154" s="211"/>
      <c r="D154" s="276"/>
      <c r="E154" s="211"/>
      <c r="F154" s="276"/>
      <c r="G154" s="278"/>
      <c r="H154" s="280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2"/>
    </row>
    <row r="155" spans="1:20" ht="13.5" customHeight="1" x14ac:dyDescent="0.25">
      <c r="A155" s="275"/>
      <c r="B155" s="275"/>
      <c r="C155" s="213" t="str">
        <f>IFERROR(VLOOKUP(C154,Списки!$E:$F,2,0)," ")</f>
        <v xml:space="preserve"> </v>
      </c>
      <c r="D155" s="277"/>
      <c r="E155" s="212" t="str">
        <f>IFERROR(VLOOKUP(E154,Списки!$E:$F,2,0)," ")</f>
        <v xml:space="preserve"> </v>
      </c>
      <c r="F155" s="277"/>
      <c r="G155" s="279"/>
      <c r="H155" s="280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2"/>
    </row>
    <row r="156" spans="1:20" ht="13.5" customHeight="1" x14ac:dyDescent="0.25">
      <c r="A156" s="274">
        <v>9</v>
      </c>
      <c r="B156" s="274"/>
      <c r="C156" s="211"/>
      <c r="D156" s="276"/>
      <c r="E156" s="211"/>
      <c r="F156" s="276"/>
      <c r="G156" s="278"/>
      <c r="H156" s="280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2"/>
    </row>
    <row r="157" spans="1:20" ht="13.5" customHeight="1" x14ac:dyDescent="0.25">
      <c r="A157" s="275"/>
      <c r="B157" s="275"/>
      <c r="C157" s="212" t="str">
        <f>IFERROR(VLOOKUP(C156,Списки!$E:$F,2,0)," ")</f>
        <v xml:space="preserve"> </v>
      </c>
      <c r="D157" s="277"/>
      <c r="E157" s="212" t="str">
        <f>IFERROR(VLOOKUP(E156,Списки!$E:$F,2,0)," ")</f>
        <v xml:space="preserve"> </v>
      </c>
      <c r="F157" s="277"/>
      <c r="G157" s="279"/>
      <c r="H157" s="280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2"/>
    </row>
    <row r="158" spans="1:20" ht="13.5" customHeight="1" x14ac:dyDescent="0.25">
      <c r="A158" s="274">
        <v>10</v>
      </c>
      <c r="B158" s="274"/>
      <c r="C158" s="211"/>
      <c r="D158" s="276"/>
      <c r="E158" s="211"/>
      <c r="F158" s="276"/>
      <c r="G158" s="278"/>
      <c r="H158" s="280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2"/>
    </row>
    <row r="159" spans="1:20" ht="13.5" customHeight="1" x14ac:dyDescent="0.25">
      <c r="A159" s="275"/>
      <c r="B159" s="275"/>
      <c r="C159" s="212" t="str">
        <f>IFERROR(VLOOKUP(C158,Списки!$E:$F,2,0)," ")</f>
        <v xml:space="preserve"> </v>
      </c>
      <c r="D159" s="277"/>
      <c r="E159" s="212" t="str">
        <f>IFERROR(VLOOKUP(E158,Списки!$E:$F,2,0)," ")</f>
        <v xml:space="preserve"> </v>
      </c>
      <c r="F159" s="277"/>
      <c r="G159" s="279"/>
      <c r="H159" s="280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2"/>
    </row>
    <row r="160" spans="1:20" ht="13.5" customHeight="1" x14ac:dyDescent="0.25">
      <c r="A160" s="274">
        <v>11</v>
      </c>
      <c r="B160" s="274"/>
      <c r="C160" s="211"/>
      <c r="D160" s="276"/>
      <c r="E160" s="211"/>
      <c r="F160" s="276"/>
      <c r="G160" s="278"/>
      <c r="H160" s="280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2"/>
    </row>
    <row r="161" spans="1:20" ht="13.5" customHeight="1" x14ac:dyDescent="0.25">
      <c r="A161" s="275"/>
      <c r="B161" s="275"/>
      <c r="C161" s="212" t="str">
        <f>IFERROR(VLOOKUP(C160,Списки!$E:$F,2,0)," ")</f>
        <v xml:space="preserve"> </v>
      </c>
      <c r="D161" s="277"/>
      <c r="E161" s="212" t="str">
        <f>IFERROR(VLOOKUP(E160,Списки!$E:$F,2,0)," ")</f>
        <v xml:space="preserve"> </v>
      </c>
      <c r="F161" s="277"/>
      <c r="G161" s="279"/>
      <c r="H161" s="280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2"/>
    </row>
    <row r="162" spans="1:20" ht="13.5" customHeight="1" x14ac:dyDescent="0.25">
      <c r="A162" s="274">
        <v>12</v>
      </c>
      <c r="B162" s="274"/>
      <c r="C162" s="211"/>
      <c r="D162" s="276"/>
      <c r="E162" s="211"/>
      <c r="F162" s="276"/>
      <c r="G162" s="278"/>
      <c r="H162" s="280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2"/>
    </row>
    <row r="163" spans="1:20" ht="13.5" customHeight="1" x14ac:dyDescent="0.25">
      <c r="A163" s="275"/>
      <c r="B163" s="275"/>
      <c r="C163" s="212" t="str">
        <f>IFERROR(VLOOKUP(C162,Списки!$E:$F,2,0)," ")</f>
        <v xml:space="preserve"> </v>
      </c>
      <c r="D163" s="277"/>
      <c r="E163" s="212" t="str">
        <f>IFERROR(VLOOKUP(E162,Списки!$E:$F,2,0)," ")</f>
        <v xml:space="preserve"> </v>
      </c>
      <c r="F163" s="277"/>
      <c r="G163" s="279"/>
      <c r="H163" s="280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2"/>
    </row>
    <row r="164" spans="1:20" ht="13.5" customHeight="1" x14ac:dyDescent="0.25">
      <c r="A164" s="274">
        <v>13</v>
      </c>
      <c r="B164" s="274"/>
      <c r="C164" s="211"/>
      <c r="D164" s="276"/>
      <c r="E164" s="211"/>
      <c r="F164" s="276"/>
      <c r="G164" s="278"/>
      <c r="H164" s="280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2"/>
    </row>
    <row r="165" spans="1:20" ht="13.5" customHeight="1" x14ac:dyDescent="0.25">
      <c r="A165" s="275"/>
      <c r="B165" s="275"/>
      <c r="C165" s="212" t="str">
        <f>IFERROR(VLOOKUP(C164,Списки!$E:$F,2,0)," ")</f>
        <v xml:space="preserve"> </v>
      </c>
      <c r="D165" s="277"/>
      <c r="E165" s="212" t="str">
        <f>IFERROR(VLOOKUP(E164,Списки!$E:$F,2,0)," ")</f>
        <v xml:space="preserve"> </v>
      </c>
      <c r="F165" s="277"/>
      <c r="G165" s="279"/>
      <c r="H165" s="280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2"/>
    </row>
    <row r="166" spans="1:20" ht="13.5" customHeight="1" x14ac:dyDescent="0.25">
      <c r="A166" s="274">
        <v>14</v>
      </c>
      <c r="B166" s="274"/>
      <c r="C166" s="211"/>
      <c r="D166" s="276"/>
      <c r="E166" s="211"/>
      <c r="F166" s="276"/>
      <c r="G166" s="278"/>
      <c r="H166" s="280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2"/>
    </row>
    <row r="167" spans="1:20" ht="13.5" customHeight="1" x14ac:dyDescent="0.25">
      <c r="A167" s="275"/>
      <c r="B167" s="275"/>
      <c r="C167" s="212" t="str">
        <f>IFERROR(VLOOKUP(C166,Списки!$E:$F,2,0)," ")</f>
        <v xml:space="preserve"> </v>
      </c>
      <c r="D167" s="277"/>
      <c r="E167" s="212" t="str">
        <f>IFERROR(VLOOKUP(E166,Списки!$E:$F,2,0)," ")</f>
        <v xml:space="preserve"> </v>
      </c>
      <c r="F167" s="277"/>
      <c r="G167" s="279"/>
      <c r="H167" s="280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2"/>
    </row>
    <row r="168" spans="1:20" ht="13.5" customHeight="1" x14ac:dyDescent="0.25">
      <c r="A168" s="274">
        <v>15</v>
      </c>
      <c r="B168" s="274"/>
      <c r="C168" s="211"/>
      <c r="D168" s="276"/>
      <c r="E168" s="211"/>
      <c r="F168" s="276"/>
      <c r="G168" s="278"/>
      <c r="H168" s="280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2"/>
    </row>
    <row r="169" spans="1:20" ht="13.5" customHeight="1" x14ac:dyDescent="0.25">
      <c r="A169" s="275"/>
      <c r="B169" s="275"/>
      <c r="C169" s="212" t="str">
        <f>IFERROR(VLOOKUP(C168,Списки!$E:$F,2,0)," ")</f>
        <v xml:space="preserve"> </v>
      </c>
      <c r="D169" s="277"/>
      <c r="E169" s="212" t="str">
        <f>IFERROR(VLOOKUP(E168,Списки!$E:$F,2,0)," ")</f>
        <v xml:space="preserve"> </v>
      </c>
      <c r="F169" s="277"/>
      <c r="G169" s="279"/>
      <c r="H169" s="280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2"/>
    </row>
    <row r="170" spans="1:20" x14ac:dyDescent="0.25">
      <c r="A170" s="214"/>
      <c r="B170" s="215"/>
      <c r="C170" s="214"/>
      <c r="D170" s="214"/>
      <c r="E170" s="216" t="s">
        <v>30</v>
      </c>
      <c r="F170" s="217">
        <f>IFERROR(SUM(IFERROR(IF((LOOKUP(9E+307,F140:F169))&gt;$M$39,(LOOKUP(9E+307,F140:F169))-$M$39,IF((LOOKUP(9E+307,F140:F169))&lt;0.166666667,0+(LOOKUP(9E+307,F140:F169))+1-$M$39,0)),0),(IF(AND(IF(D140,$M$38-D140,0)&gt;0,F140,F140&gt;D140),$M$38-D140,IF(AND(D140,F140,D140&gt;F140),"error",0)))),"ОШИБКА")</f>
        <v>0</v>
      </c>
      <c r="G170" s="218" t="s">
        <v>27</v>
      </c>
      <c r="H170" s="216">
        <f>SUM(H140:H169)</f>
        <v>0</v>
      </c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2"/>
    </row>
    <row r="171" spans="1:20" ht="15.75" x14ac:dyDescent="0.25">
      <c r="A171" s="283">
        <f>DATE(K1,J1,6)</f>
        <v>43836</v>
      </c>
      <c r="B171" s="283"/>
      <c r="C171" s="283"/>
      <c r="D171" s="283"/>
      <c r="E171" s="283"/>
      <c r="F171" s="283"/>
      <c r="G171" s="283"/>
      <c r="H171" s="283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2"/>
    </row>
    <row r="172" spans="1:20" ht="13.5" customHeight="1" x14ac:dyDescent="0.25">
      <c r="A172" s="291"/>
      <c r="B172" s="292" t="s">
        <v>34</v>
      </c>
      <c r="C172" s="219" t="s">
        <v>39</v>
      </c>
      <c r="D172" s="292" t="s">
        <v>36</v>
      </c>
      <c r="E172" s="219" t="s">
        <v>37</v>
      </c>
      <c r="F172" s="292" t="s">
        <v>36</v>
      </c>
      <c r="G172" s="293" t="s">
        <v>35</v>
      </c>
      <c r="H172" s="280" t="s">
        <v>40</v>
      </c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2"/>
    </row>
    <row r="173" spans="1:20" ht="13.5" customHeight="1" x14ac:dyDescent="0.25">
      <c r="A173" s="285"/>
      <c r="B173" s="288"/>
      <c r="C173" s="210" t="s">
        <v>38</v>
      </c>
      <c r="D173" s="288"/>
      <c r="E173" s="210" t="s">
        <v>38</v>
      </c>
      <c r="F173" s="288"/>
      <c r="G173" s="294"/>
      <c r="H173" s="280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2"/>
    </row>
    <row r="174" spans="1:20" ht="13.5" customHeight="1" x14ac:dyDescent="0.25">
      <c r="A174" s="274">
        <v>1</v>
      </c>
      <c r="B174" s="274"/>
      <c r="C174" s="211" t="s">
        <v>43</v>
      </c>
      <c r="D174" s="276"/>
      <c r="E174" s="211" t="s">
        <v>44</v>
      </c>
      <c r="F174" s="276"/>
      <c r="G174" s="278"/>
      <c r="H174" s="280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2"/>
    </row>
    <row r="175" spans="1:20" ht="13.5" customHeight="1" x14ac:dyDescent="0.25">
      <c r="A175" s="275"/>
      <c r="B175" s="275"/>
      <c r="C175" s="212" t="str">
        <f>IFERROR(VLOOKUP(C174,Списки!$E:$F,2,0)," ")</f>
        <v>SAVUSHKINA ST 128</v>
      </c>
      <c r="D175" s="277"/>
      <c r="E175" s="212" t="str">
        <f>IFERROR(VLOOKUP(E174,Списки!$E:$F,2,0)," ")</f>
        <v>LEVASHOVSKOE HWY 20</v>
      </c>
      <c r="F175" s="277"/>
      <c r="G175" s="279"/>
      <c r="H175" s="280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2"/>
    </row>
    <row r="176" spans="1:20" ht="13.5" customHeight="1" x14ac:dyDescent="0.25">
      <c r="A176" s="274">
        <v>2</v>
      </c>
      <c r="B176" s="274"/>
      <c r="C176" s="211" t="s">
        <v>44</v>
      </c>
      <c r="D176" s="276"/>
      <c r="E176" s="211"/>
      <c r="F176" s="276"/>
      <c r="G176" s="278"/>
      <c r="H176" s="280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2"/>
    </row>
    <row r="177" spans="1:20" ht="13.5" customHeight="1" x14ac:dyDescent="0.25">
      <c r="A177" s="275"/>
      <c r="B177" s="275"/>
      <c r="C177" s="212" t="str">
        <f>IFERROR(VLOOKUP(C176,Списки!$E:$F,2,0)," ")</f>
        <v>LEVASHOVSKOE HWY 20</v>
      </c>
      <c r="D177" s="277"/>
      <c r="E177" s="212" t="str">
        <f>IFERROR(VLOOKUP(E176,Списки!$E:$F,2,0)," ")</f>
        <v xml:space="preserve"> </v>
      </c>
      <c r="F177" s="277"/>
      <c r="G177" s="279"/>
      <c r="H177" s="280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2"/>
    </row>
    <row r="178" spans="1:20" ht="13.5" customHeight="1" x14ac:dyDescent="0.25">
      <c r="A178" s="274">
        <v>3</v>
      </c>
      <c r="B178" s="274"/>
      <c r="C178" s="211"/>
      <c r="D178" s="276"/>
      <c r="E178" s="211"/>
      <c r="F178" s="276"/>
      <c r="G178" s="278"/>
      <c r="H178" s="280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2"/>
    </row>
    <row r="179" spans="1:20" ht="13.5" customHeight="1" x14ac:dyDescent="0.25">
      <c r="A179" s="275"/>
      <c r="B179" s="275"/>
      <c r="C179" s="212" t="str">
        <f>IFERROR(VLOOKUP(C178,Списки!$E:$F,2,0)," ")</f>
        <v xml:space="preserve"> </v>
      </c>
      <c r="D179" s="277"/>
      <c r="E179" s="212" t="str">
        <f>IFERROR(VLOOKUP(E178,Списки!$E:$F,2,0)," ")</f>
        <v xml:space="preserve"> </v>
      </c>
      <c r="F179" s="277"/>
      <c r="G179" s="279"/>
      <c r="H179" s="280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2"/>
    </row>
    <row r="180" spans="1:20" ht="13.5" customHeight="1" x14ac:dyDescent="0.25">
      <c r="A180" s="274">
        <v>4</v>
      </c>
      <c r="B180" s="274"/>
      <c r="C180" s="211"/>
      <c r="D180" s="276"/>
      <c r="E180" s="211"/>
      <c r="F180" s="276"/>
      <c r="G180" s="278"/>
      <c r="H180" s="280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2"/>
    </row>
    <row r="181" spans="1:20" ht="13.5" customHeight="1" x14ac:dyDescent="0.25">
      <c r="A181" s="275"/>
      <c r="B181" s="275"/>
      <c r="C181" s="212" t="str">
        <f>IFERROR(VLOOKUP(C180,Списки!$E:$F,2,0)," ")</f>
        <v xml:space="preserve"> </v>
      </c>
      <c r="D181" s="277"/>
      <c r="E181" s="212" t="str">
        <f>IFERROR(VLOOKUP(E180,Списки!$E:$F,2,0)," ")</f>
        <v xml:space="preserve"> </v>
      </c>
      <c r="F181" s="277"/>
      <c r="G181" s="279"/>
      <c r="H181" s="280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2"/>
    </row>
    <row r="182" spans="1:20" ht="13.5" customHeight="1" x14ac:dyDescent="0.25">
      <c r="A182" s="274">
        <v>5</v>
      </c>
      <c r="B182" s="274"/>
      <c r="C182" s="211"/>
      <c r="D182" s="276"/>
      <c r="E182" s="213"/>
      <c r="F182" s="276"/>
      <c r="G182" s="278"/>
      <c r="H182" s="280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2"/>
    </row>
    <row r="183" spans="1:20" ht="13.5" customHeight="1" x14ac:dyDescent="0.25">
      <c r="A183" s="275"/>
      <c r="B183" s="275"/>
      <c r="C183" s="212" t="str">
        <f>IFERROR(VLOOKUP(C182,Списки!$E:$F,2,0)," ")</f>
        <v xml:space="preserve"> </v>
      </c>
      <c r="D183" s="277"/>
      <c r="E183" s="213" t="str">
        <f>IFERROR(VLOOKUP(E182,Списки!$E:$F,2,0)," ")</f>
        <v xml:space="preserve"> </v>
      </c>
      <c r="F183" s="277"/>
      <c r="G183" s="279"/>
      <c r="H183" s="280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2"/>
    </row>
    <row r="184" spans="1:20" ht="13.5" customHeight="1" x14ac:dyDescent="0.25">
      <c r="A184" s="274">
        <v>6</v>
      </c>
      <c r="B184" s="274"/>
      <c r="C184" s="211"/>
      <c r="D184" s="276"/>
      <c r="E184" s="211"/>
      <c r="F184" s="276"/>
      <c r="G184" s="278"/>
      <c r="H184" s="280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2"/>
    </row>
    <row r="185" spans="1:20" ht="13.5" customHeight="1" x14ac:dyDescent="0.25">
      <c r="A185" s="275"/>
      <c r="B185" s="275"/>
      <c r="C185" s="212" t="str">
        <f>IFERROR(VLOOKUP(C184,Списки!$E:$F,2,0)," ")</f>
        <v xml:space="preserve"> </v>
      </c>
      <c r="D185" s="277"/>
      <c r="E185" s="213" t="str">
        <f>IFERROR(VLOOKUP(E184,Списки!$E:$F,2,0)," ")</f>
        <v xml:space="preserve"> </v>
      </c>
      <c r="F185" s="277"/>
      <c r="G185" s="279"/>
      <c r="H185" s="280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2"/>
    </row>
    <row r="186" spans="1:20" ht="13.5" customHeight="1" x14ac:dyDescent="0.25">
      <c r="A186" s="274">
        <v>7</v>
      </c>
      <c r="B186" s="274"/>
      <c r="C186" s="211"/>
      <c r="D186" s="276"/>
      <c r="E186" s="211"/>
      <c r="F186" s="276"/>
      <c r="G186" s="278"/>
      <c r="H186" s="280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2"/>
    </row>
    <row r="187" spans="1:20" ht="13.5" customHeight="1" x14ac:dyDescent="0.25">
      <c r="A187" s="275"/>
      <c r="B187" s="275"/>
      <c r="C187" s="213" t="str">
        <f>IFERROR(VLOOKUP(C186,Списки!$E:$F,2,0)," ")</f>
        <v xml:space="preserve"> </v>
      </c>
      <c r="D187" s="277"/>
      <c r="E187" s="212" t="str">
        <f>IFERROR(VLOOKUP(E186,Списки!$E:$F,2,0)," ")</f>
        <v xml:space="preserve"> </v>
      </c>
      <c r="F187" s="277"/>
      <c r="G187" s="279"/>
      <c r="H187" s="280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2"/>
    </row>
    <row r="188" spans="1:20" ht="13.5" customHeight="1" x14ac:dyDescent="0.25">
      <c r="A188" s="274">
        <v>8</v>
      </c>
      <c r="B188" s="274"/>
      <c r="C188" s="211"/>
      <c r="D188" s="276"/>
      <c r="E188" s="211"/>
      <c r="F188" s="276"/>
      <c r="G188" s="278"/>
      <c r="H188" s="280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2"/>
    </row>
    <row r="189" spans="1:20" ht="13.5" customHeight="1" x14ac:dyDescent="0.25">
      <c r="A189" s="275"/>
      <c r="B189" s="275"/>
      <c r="C189" s="213" t="str">
        <f>IFERROR(VLOOKUP(C188,Списки!$E:$F,2,0)," ")</f>
        <v xml:space="preserve"> </v>
      </c>
      <c r="D189" s="277"/>
      <c r="E189" s="212" t="str">
        <f>IFERROR(VLOOKUP(E188,Списки!$E:$F,2,0)," ")</f>
        <v xml:space="preserve"> </v>
      </c>
      <c r="F189" s="277"/>
      <c r="G189" s="279"/>
      <c r="H189" s="280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2"/>
    </row>
    <row r="190" spans="1:20" ht="13.5" customHeight="1" x14ac:dyDescent="0.25">
      <c r="A190" s="274">
        <v>9</v>
      </c>
      <c r="B190" s="274"/>
      <c r="C190" s="211"/>
      <c r="D190" s="276"/>
      <c r="E190" s="211"/>
      <c r="F190" s="276"/>
      <c r="G190" s="278"/>
      <c r="H190" s="280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2"/>
    </row>
    <row r="191" spans="1:20" ht="13.5" customHeight="1" x14ac:dyDescent="0.25">
      <c r="A191" s="275"/>
      <c r="B191" s="275"/>
      <c r="C191" s="212" t="str">
        <f>IFERROR(VLOOKUP(C190,Списки!$E:$F,2,0)," ")</f>
        <v xml:space="preserve"> </v>
      </c>
      <c r="D191" s="277"/>
      <c r="E191" s="212" t="str">
        <f>IFERROR(VLOOKUP(E190,Списки!$E:$F,2,0)," ")</f>
        <v xml:space="preserve"> </v>
      </c>
      <c r="F191" s="277"/>
      <c r="G191" s="279"/>
      <c r="H191" s="280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2"/>
    </row>
    <row r="192" spans="1:20" ht="13.5" customHeight="1" x14ac:dyDescent="0.25">
      <c r="A192" s="274">
        <v>10</v>
      </c>
      <c r="B192" s="274"/>
      <c r="C192" s="211"/>
      <c r="D192" s="276"/>
      <c r="E192" s="211"/>
      <c r="F192" s="276"/>
      <c r="G192" s="278"/>
      <c r="H192" s="280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2"/>
    </row>
    <row r="193" spans="1:20" ht="13.5" customHeight="1" x14ac:dyDescent="0.25">
      <c r="A193" s="275"/>
      <c r="B193" s="275"/>
      <c r="C193" s="212" t="str">
        <f>IFERROR(VLOOKUP(C192,Списки!$E:$F,2,0)," ")</f>
        <v xml:space="preserve"> </v>
      </c>
      <c r="D193" s="277"/>
      <c r="E193" s="212" t="str">
        <f>IFERROR(VLOOKUP(E192,Списки!$E:$F,2,0)," ")</f>
        <v xml:space="preserve"> </v>
      </c>
      <c r="F193" s="277"/>
      <c r="G193" s="279"/>
      <c r="H193" s="280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2"/>
    </row>
    <row r="194" spans="1:20" ht="13.5" customHeight="1" x14ac:dyDescent="0.25">
      <c r="A194" s="274">
        <v>11</v>
      </c>
      <c r="B194" s="274"/>
      <c r="C194" s="211"/>
      <c r="D194" s="276"/>
      <c r="E194" s="211"/>
      <c r="F194" s="276"/>
      <c r="G194" s="278"/>
      <c r="H194" s="280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2"/>
    </row>
    <row r="195" spans="1:20" ht="13.5" customHeight="1" x14ac:dyDescent="0.25">
      <c r="A195" s="275"/>
      <c r="B195" s="275"/>
      <c r="C195" s="212" t="str">
        <f>IFERROR(VLOOKUP(C194,Списки!$E:$F,2,0)," ")</f>
        <v xml:space="preserve"> </v>
      </c>
      <c r="D195" s="277"/>
      <c r="E195" s="212" t="str">
        <f>IFERROR(VLOOKUP(E194,Списки!$E:$F,2,0)," ")</f>
        <v xml:space="preserve"> </v>
      </c>
      <c r="F195" s="277"/>
      <c r="G195" s="279"/>
      <c r="H195" s="280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2"/>
    </row>
    <row r="196" spans="1:20" ht="13.5" customHeight="1" x14ac:dyDescent="0.25">
      <c r="A196" s="274">
        <v>12</v>
      </c>
      <c r="B196" s="274"/>
      <c r="C196" s="211"/>
      <c r="D196" s="276"/>
      <c r="E196" s="211"/>
      <c r="F196" s="276"/>
      <c r="G196" s="278"/>
      <c r="H196" s="280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2"/>
    </row>
    <row r="197" spans="1:20" ht="13.5" customHeight="1" x14ac:dyDescent="0.25">
      <c r="A197" s="275"/>
      <c r="B197" s="275"/>
      <c r="C197" s="212" t="str">
        <f>IFERROR(VLOOKUP(C196,Списки!$E:$F,2,0)," ")</f>
        <v xml:space="preserve"> </v>
      </c>
      <c r="D197" s="277"/>
      <c r="E197" s="212" t="str">
        <f>IFERROR(VLOOKUP(E196,Списки!$E:$F,2,0)," ")</f>
        <v xml:space="preserve"> </v>
      </c>
      <c r="F197" s="277"/>
      <c r="G197" s="279"/>
      <c r="H197" s="280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2"/>
    </row>
    <row r="198" spans="1:20" ht="13.5" customHeight="1" x14ac:dyDescent="0.25">
      <c r="A198" s="274">
        <v>13</v>
      </c>
      <c r="B198" s="274"/>
      <c r="C198" s="211"/>
      <c r="D198" s="276"/>
      <c r="E198" s="211"/>
      <c r="F198" s="276"/>
      <c r="G198" s="278"/>
      <c r="H198" s="280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2"/>
    </row>
    <row r="199" spans="1:20" ht="13.5" customHeight="1" x14ac:dyDescent="0.25">
      <c r="A199" s="275"/>
      <c r="B199" s="275"/>
      <c r="C199" s="212" t="str">
        <f>IFERROR(VLOOKUP(C198,Списки!$E:$F,2,0)," ")</f>
        <v xml:space="preserve"> </v>
      </c>
      <c r="D199" s="277"/>
      <c r="E199" s="212" t="str">
        <f>IFERROR(VLOOKUP(E198,Списки!$E:$F,2,0)," ")</f>
        <v xml:space="preserve"> </v>
      </c>
      <c r="F199" s="277"/>
      <c r="G199" s="279"/>
      <c r="H199" s="280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2"/>
    </row>
    <row r="200" spans="1:20" ht="13.5" customHeight="1" x14ac:dyDescent="0.25">
      <c r="A200" s="274">
        <v>14</v>
      </c>
      <c r="B200" s="274"/>
      <c r="C200" s="211"/>
      <c r="D200" s="276"/>
      <c r="E200" s="211"/>
      <c r="F200" s="276"/>
      <c r="G200" s="278"/>
      <c r="H200" s="280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2"/>
    </row>
    <row r="201" spans="1:20" ht="13.5" customHeight="1" x14ac:dyDescent="0.25">
      <c r="A201" s="275"/>
      <c r="B201" s="275"/>
      <c r="C201" s="212" t="str">
        <f>IFERROR(VLOOKUP(C200,Списки!$E:$F,2,0)," ")</f>
        <v xml:space="preserve"> </v>
      </c>
      <c r="D201" s="277"/>
      <c r="E201" s="212" t="str">
        <f>IFERROR(VLOOKUP(E200,Списки!$E:$F,2,0)," ")</f>
        <v xml:space="preserve"> </v>
      </c>
      <c r="F201" s="277"/>
      <c r="G201" s="279"/>
      <c r="H201" s="280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2"/>
    </row>
    <row r="202" spans="1:20" ht="13.5" customHeight="1" x14ac:dyDescent="0.25">
      <c r="A202" s="274">
        <v>15</v>
      </c>
      <c r="B202" s="274"/>
      <c r="C202" s="211"/>
      <c r="D202" s="276"/>
      <c r="E202" s="211"/>
      <c r="F202" s="276"/>
      <c r="G202" s="278"/>
      <c r="H202" s="280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2"/>
    </row>
    <row r="203" spans="1:20" ht="13.5" customHeight="1" x14ac:dyDescent="0.25">
      <c r="A203" s="275"/>
      <c r="B203" s="275"/>
      <c r="C203" s="212" t="str">
        <f>IFERROR(VLOOKUP(C202,Списки!$E:$F,2,0)," ")</f>
        <v xml:space="preserve"> </v>
      </c>
      <c r="D203" s="277"/>
      <c r="E203" s="212" t="str">
        <f>IFERROR(VLOOKUP(E202,Списки!$E:$F,2,0)," ")</f>
        <v xml:space="preserve"> </v>
      </c>
      <c r="F203" s="277"/>
      <c r="G203" s="279"/>
      <c r="H203" s="280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2"/>
    </row>
    <row r="204" spans="1:20" x14ac:dyDescent="0.25">
      <c r="A204" s="214"/>
      <c r="B204" s="215"/>
      <c r="C204" s="214"/>
      <c r="D204" s="214"/>
      <c r="E204" s="216" t="s">
        <v>30</v>
      </c>
      <c r="F204" s="217">
        <f>IFERROR(SUM(IFERROR(IF((LOOKUP(9E+307,F174:F203))&gt;$M$39,(LOOKUP(9E+307,F174:F203))-$M$39,IF((LOOKUP(9E+307,F174:F203))&lt;0.166666667,0+(LOOKUP(9E+307,F174:F203))+1-$M$39,0)),0),(IF(AND(IF(D174,$M$38-D174,0)&gt;0,F174,F174&gt;D174),$M$38-D174,IF(AND(D174,F174,D174&gt;F174),"error",0)))),"ОШИБКА")</f>
        <v>0</v>
      </c>
      <c r="G204" s="218" t="s">
        <v>27</v>
      </c>
      <c r="H204" s="216">
        <f>SUM(H174:H203)</f>
        <v>0</v>
      </c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2"/>
    </row>
    <row r="205" spans="1:20" ht="15.75" x14ac:dyDescent="0.25">
      <c r="A205" s="283">
        <f>DATE(K1,J1,7)</f>
        <v>43837</v>
      </c>
      <c r="B205" s="283"/>
      <c r="C205" s="283"/>
      <c r="D205" s="283"/>
      <c r="E205" s="283"/>
      <c r="F205" s="283"/>
      <c r="G205" s="283"/>
      <c r="H205" s="283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2"/>
    </row>
    <row r="206" spans="1:20" ht="13.5" customHeight="1" x14ac:dyDescent="0.25">
      <c r="A206" s="291"/>
      <c r="B206" s="292" t="s">
        <v>34</v>
      </c>
      <c r="C206" s="219" t="s">
        <v>39</v>
      </c>
      <c r="D206" s="292" t="s">
        <v>36</v>
      </c>
      <c r="E206" s="219" t="s">
        <v>37</v>
      </c>
      <c r="F206" s="292" t="s">
        <v>36</v>
      </c>
      <c r="G206" s="293" t="s">
        <v>35</v>
      </c>
      <c r="H206" s="280" t="s">
        <v>40</v>
      </c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2"/>
    </row>
    <row r="207" spans="1:20" ht="13.5" customHeight="1" x14ac:dyDescent="0.25">
      <c r="A207" s="285"/>
      <c r="B207" s="288"/>
      <c r="C207" s="210" t="s">
        <v>38</v>
      </c>
      <c r="D207" s="288"/>
      <c r="E207" s="210" t="s">
        <v>38</v>
      </c>
      <c r="F207" s="288"/>
      <c r="G207" s="294"/>
      <c r="H207" s="280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2"/>
    </row>
    <row r="208" spans="1:20" ht="13.5" customHeight="1" x14ac:dyDescent="0.25">
      <c r="A208" s="274">
        <v>1</v>
      </c>
      <c r="B208" s="274"/>
      <c r="C208" s="211" t="s">
        <v>43</v>
      </c>
      <c r="D208" s="276"/>
      <c r="E208" s="211" t="s">
        <v>44</v>
      </c>
      <c r="F208" s="276"/>
      <c r="G208" s="278"/>
      <c r="H208" s="280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2"/>
    </row>
    <row r="209" spans="1:20" ht="13.5" customHeight="1" x14ac:dyDescent="0.25">
      <c r="A209" s="275"/>
      <c r="B209" s="275"/>
      <c r="C209" s="212" t="str">
        <f>IFERROR(VLOOKUP(C208,Списки!$E:$F,2,0)," ")</f>
        <v>SAVUSHKINA ST 128</v>
      </c>
      <c r="D209" s="277"/>
      <c r="E209" s="212" t="str">
        <f>IFERROR(VLOOKUP(E208,Списки!$E:$F,2,0)," ")</f>
        <v>LEVASHOVSKOE HWY 20</v>
      </c>
      <c r="F209" s="277"/>
      <c r="G209" s="279"/>
      <c r="H209" s="280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2"/>
    </row>
    <row r="210" spans="1:20" ht="13.5" customHeight="1" x14ac:dyDescent="0.25">
      <c r="A210" s="274">
        <v>2</v>
      </c>
      <c r="B210" s="274"/>
      <c r="C210" s="211" t="s">
        <v>44</v>
      </c>
      <c r="D210" s="276"/>
      <c r="E210" s="211"/>
      <c r="F210" s="276"/>
      <c r="G210" s="278"/>
      <c r="H210" s="280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2"/>
    </row>
    <row r="211" spans="1:20" ht="13.5" customHeight="1" x14ac:dyDescent="0.25">
      <c r="A211" s="275"/>
      <c r="B211" s="275"/>
      <c r="C211" s="212" t="str">
        <f>IFERROR(VLOOKUP(C210,Списки!$E:$F,2,0)," ")</f>
        <v>LEVASHOVSKOE HWY 20</v>
      </c>
      <c r="D211" s="277"/>
      <c r="E211" s="212" t="str">
        <f>IFERROR(VLOOKUP(E210,Списки!$E:$F,2,0)," ")</f>
        <v xml:space="preserve"> </v>
      </c>
      <c r="F211" s="277"/>
      <c r="G211" s="279"/>
      <c r="H211" s="280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2"/>
    </row>
    <row r="212" spans="1:20" ht="13.5" customHeight="1" x14ac:dyDescent="0.25">
      <c r="A212" s="274">
        <v>3</v>
      </c>
      <c r="B212" s="274"/>
      <c r="C212" s="211"/>
      <c r="D212" s="276"/>
      <c r="E212" s="211"/>
      <c r="F212" s="276"/>
      <c r="G212" s="278"/>
      <c r="H212" s="280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2"/>
    </row>
    <row r="213" spans="1:20" ht="13.5" customHeight="1" x14ac:dyDescent="0.25">
      <c r="A213" s="275"/>
      <c r="B213" s="275"/>
      <c r="C213" s="212" t="str">
        <f>IFERROR(VLOOKUP(C212,Списки!$E:$F,2,0)," ")</f>
        <v xml:space="preserve"> </v>
      </c>
      <c r="D213" s="277"/>
      <c r="E213" s="212" t="str">
        <f>IFERROR(VLOOKUP(E212,Списки!$E:$F,2,0)," ")</f>
        <v xml:space="preserve"> </v>
      </c>
      <c r="F213" s="277"/>
      <c r="G213" s="279"/>
      <c r="H213" s="280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2"/>
    </row>
    <row r="214" spans="1:20" ht="13.5" customHeight="1" x14ac:dyDescent="0.25">
      <c r="A214" s="274">
        <v>4</v>
      </c>
      <c r="B214" s="274"/>
      <c r="C214" s="211"/>
      <c r="D214" s="276"/>
      <c r="E214" s="211"/>
      <c r="F214" s="276"/>
      <c r="G214" s="278"/>
      <c r="H214" s="280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2"/>
    </row>
    <row r="215" spans="1:20" ht="13.5" customHeight="1" x14ac:dyDescent="0.25">
      <c r="A215" s="275"/>
      <c r="B215" s="275"/>
      <c r="C215" s="212" t="str">
        <f>IFERROR(VLOOKUP(C214,Списки!$E:$F,2,0)," ")</f>
        <v xml:space="preserve"> </v>
      </c>
      <c r="D215" s="277"/>
      <c r="E215" s="212" t="str">
        <f>IFERROR(VLOOKUP(E214,Списки!$E:$F,2,0)," ")</f>
        <v xml:space="preserve"> </v>
      </c>
      <c r="F215" s="277"/>
      <c r="G215" s="279"/>
      <c r="H215" s="280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2"/>
    </row>
    <row r="216" spans="1:20" ht="13.5" customHeight="1" x14ac:dyDescent="0.25">
      <c r="A216" s="274">
        <v>5</v>
      </c>
      <c r="B216" s="274"/>
      <c r="C216" s="211"/>
      <c r="D216" s="276"/>
      <c r="E216" s="213"/>
      <c r="F216" s="276"/>
      <c r="G216" s="278"/>
      <c r="H216" s="280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2"/>
    </row>
    <row r="217" spans="1:20" ht="13.5" customHeight="1" x14ac:dyDescent="0.25">
      <c r="A217" s="275"/>
      <c r="B217" s="275"/>
      <c r="C217" s="212" t="str">
        <f>IFERROR(VLOOKUP(C216,Списки!$E:$F,2,0)," ")</f>
        <v xml:space="preserve"> </v>
      </c>
      <c r="D217" s="277"/>
      <c r="E217" s="213" t="str">
        <f>IFERROR(VLOOKUP(E216,Списки!$E:$F,2,0)," ")</f>
        <v xml:space="preserve"> </v>
      </c>
      <c r="F217" s="277"/>
      <c r="G217" s="279"/>
      <c r="H217" s="280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2"/>
    </row>
    <row r="218" spans="1:20" ht="13.5" customHeight="1" x14ac:dyDescent="0.25">
      <c r="A218" s="274">
        <v>6</v>
      </c>
      <c r="B218" s="274"/>
      <c r="C218" s="211"/>
      <c r="D218" s="276"/>
      <c r="E218" s="211"/>
      <c r="F218" s="276"/>
      <c r="G218" s="278"/>
      <c r="H218" s="280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2"/>
    </row>
    <row r="219" spans="1:20" ht="13.5" customHeight="1" x14ac:dyDescent="0.25">
      <c r="A219" s="275"/>
      <c r="B219" s="275"/>
      <c r="C219" s="212" t="str">
        <f>IFERROR(VLOOKUP(C218,Списки!$E:$F,2,0)," ")</f>
        <v xml:space="preserve"> </v>
      </c>
      <c r="D219" s="277"/>
      <c r="E219" s="213" t="str">
        <f>IFERROR(VLOOKUP(E218,Списки!$E:$F,2,0)," ")</f>
        <v xml:space="preserve"> </v>
      </c>
      <c r="F219" s="277"/>
      <c r="G219" s="279"/>
      <c r="H219" s="280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2"/>
    </row>
    <row r="220" spans="1:20" ht="13.5" customHeight="1" x14ac:dyDescent="0.25">
      <c r="A220" s="274">
        <v>7</v>
      </c>
      <c r="B220" s="274"/>
      <c r="C220" s="211"/>
      <c r="D220" s="276"/>
      <c r="E220" s="211"/>
      <c r="F220" s="276"/>
      <c r="G220" s="278"/>
      <c r="H220" s="280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2"/>
    </row>
    <row r="221" spans="1:20" ht="13.5" customHeight="1" x14ac:dyDescent="0.25">
      <c r="A221" s="275"/>
      <c r="B221" s="275"/>
      <c r="C221" s="213" t="str">
        <f>IFERROR(VLOOKUP(C220,Списки!$E:$F,2,0)," ")</f>
        <v xml:space="preserve"> </v>
      </c>
      <c r="D221" s="277"/>
      <c r="E221" s="212" t="str">
        <f>IFERROR(VLOOKUP(E220,Списки!$E:$F,2,0)," ")</f>
        <v xml:space="preserve"> </v>
      </c>
      <c r="F221" s="277"/>
      <c r="G221" s="279"/>
      <c r="H221" s="280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2"/>
    </row>
    <row r="222" spans="1:20" ht="13.5" customHeight="1" x14ac:dyDescent="0.25">
      <c r="A222" s="274">
        <v>8</v>
      </c>
      <c r="B222" s="274"/>
      <c r="C222" s="211"/>
      <c r="D222" s="276"/>
      <c r="E222" s="211"/>
      <c r="F222" s="276"/>
      <c r="G222" s="278"/>
      <c r="H222" s="280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2"/>
    </row>
    <row r="223" spans="1:20" ht="13.5" customHeight="1" x14ac:dyDescent="0.25">
      <c r="A223" s="275"/>
      <c r="B223" s="275"/>
      <c r="C223" s="213" t="str">
        <f>IFERROR(VLOOKUP(C222,Списки!$E:$F,2,0)," ")</f>
        <v xml:space="preserve"> </v>
      </c>
      <c r="D223" s="277"/>
      <c r="E223" s="212" t="str">
        <f>IFERROR(VLOOKUP(E222,Списки!$E:$F,2,0)," ")</f>
        <v xml:space="preserve"> </v>
      </c>
      <c r="F223" s="277"/>
      <c r="G223" s="279"/>
      <c r="H223" s="280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2"/>
    </row>
    <row r="224" spans="1:20" ht="13.5" customHeight="1" x14ac:dyDescent="0.25">
      <c r="A224" s="274">
        <v>9</v>
      </c>
      <c r="B224" s="274"/>
      <c r="C224" s="211"/>
      <c r="D224" s="276"/>
      <c r="E224" s="211"/>
      <c r="F224" s="276"/>
      <c r="G224" s="278"/>
      <c r="H224" s="280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2"/>
    </row>
    <row r="225" spans="1:20" ht="13.5" customHeight="1" x14ac:dyDescent="0.25">
      <c r="A225" s="275"/>
      <c r="B225" s="275"/>
      <c r="C225" s="212" t="str">
        <f>IFERROR(VLOOKUP(C224,Списки!$E:$F,2,0)," ")</f>
        <v xml:space="preserve"> </v>
      </c>
      <c r="D225" s="277"/>
      <c r="E225" s="212" t="str">
        <f>IFERROR(VLOOKUP(E224,Списки!$E:$F,2,0)," ")</f>
        <v xml:space="preserve"> </v>
      </c>
      <c r="F225" s="277"/>
      <c r="G225" s="279"/>
      <c r="H225" s="280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2"/>
    </row>
    <row r="226" spans="1:20" ht="13.5" customHeight="1" x14ac:dyDescent="0.25">
      <c r="A226" s="274">
        <v>10</v>
      </c>
      <c r="B226" s="274"/>
      <c r="C226" s="211"/>
      <c r="D226" s="276"/>
      <c r="E226" s="211"/>
      <c r="F226" s="276"/>
      <c r="G226" s="278"/>
      <c r="H226" s="280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2"/>
    </row>
    <row r="227" spans="1:20" ht="13.5" customHeight="1" x14ac:dyDescent="0.25">
      <c r="A227" s="275"/>
      <c r="B227" s="275"/>
      <c r="C227" s="212" t="str">
        <f>IFERROR(VLOOKUP(C226,Списки!$E:$F,2,0)," ")</f>
        <v xml:space="preserve"> </v>
      </c>
      <c r="D227" s="277"/>
      <c r="E227" s="212" t="str">
        <f>IFERROR(VLOOKUP(E226,Списки!$E:$F,2,0)," ")</f>
        <v xml:space="preserve"> </v>
      </c>
      <c r="F227" s="277"/>
      <c r="G227" s="279"/>
      <c r="H227" s="280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2"/>
    </row>
    <row r="228" spans="1:20" ht="13.5" customHeight="1" x14ac:dyDescent="0.25">
      <c r="A228" s="274">
        <v>11</v>
      </c>
      <c r="B228" s="274"/>
      <c r="C228" s="211"/>
      <c r="D228" s="276"/>
      <c r="E228" s="211"/>
      <c r="F228" s="276"/>
      <c r="G228" s="278"/>
      <c r="H228" s="280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2"/>
    </row>
    <row r="229" spans="1:20" ht="13.5" customHeight="1" x14ac:dyDescent="0.25">
      <c r="A229" s="275"/>
      <c r="B229" s="275"/>
      <c r="C229" s="212" t="str">
        <f>IFERROR(VLOOKUP(C228,Списки!$E:$F,2,0)," ")</f>
        <v xml:space="preserve"> </v>
      </c>
      <c r="D229" s="277"/>
      <c r="E229" s="212" t="str">
        <f>IFERROR(VLOOKUP(E228,Списки!$E:$F,2,0)," ")</f>
        <v xml:space="preserve"> </v>
      </c>
      <c r="F229" s="277"/>
      <c r="G229" s="279"/>
      <c r="H229" s="280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2"/>
    </row>
    <row r="230" spans="1:20" ht="13.5" customHeight="1" x14ac:dyDescent="0.25">
      <c r="A230" s="274">
        <v>12</v>
      </c>
      <c r="B230" s="274"/>
      <c r="C230" s="211"/>
      <c r="D230" s="276"/>
      <c r="E230" s="211"/>
      <c r="F230" s="276"/>
      <c r="G230" s="278"/>
      <c r="H230" s="280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2"/>
    </row>
    <row r="231" spans="1:20" ht="13.5" customHeight="1" x14ac:dyDescent="0.25">
      <c r="A231" s="275"/>
      <c r="B231" s="275"/>
      <c r="C231" s="212" t="str">
        <f>IFERROR(VLOOKUP(C230,Списки!$E:$F,2,0)," ")</f>
        <v xml:space="preserve"> </v>
      </c>
      <c r="D231" s="277"/>
      <c r="E231" s="212" t="str">
        <f>IFERROR(VLOOKUP(E230,Списки!$E:$F,2,0)," ")</f>
        <v xml:space="preserve"> </v>
      </c>
      <c r="F231" s="277"/>
      <c r="G231" s="279"/>
      <c r="H231" s="280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2"/>
    </row>
    <row r="232" spans="1:20" ht="13.5" customHeight="1" x14ac:dyDescent="0.25">
      <c r="A232" s="274">
        <v>13</v>
      </c>
      <c r="B232" s="274"/>
      <c r="C232" s="211"/>
      <c r="D232" s="276"/>
      <c r="E232" s="211"/>
      <c r="F232" s="276"/>
      <c r="G232" s="278"/>
      <c r="H232" s="280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2"/>
    </row>
    <row r="233" spans="1:20" ht="13.5" customHeight="1" x14ac:dyDescent="0.25">
      <c r="A233" s="275"/>
      <c r="B233" s="275"/>
      <c r="C233" s="212" t="str">
        <f>IFERROR(VLOOKUP(C232,Списки!$E:$F,2,0)," ")</f>
        <v xml:space="preserve"> </v>
      </c>
      <c r="D233" s="277"/>
      <c r="E233" s="212" t="str">
        <f>IFERROR(VLOOKUP(E232,Списки!$E:$F,2,0)," ")</f>
        <v xml:space="preserve"> </v>
      </c>
      <c r="F233" s="277"/>
      <c r="G233" s="279"/>
      <c r="H233" s="280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2"/>
    </row>
    <row r="234" spans="1:20" ht="13.5" customHeight="1" x14ac:dyDescent="0.25">
      <c r="A234" s="274">
        <v>14</v>
      </c>
      <c r="B234" s="274"/>
      <c r="C234" s="211"/>
      <c r="D234" s="276"/>
      <c r="E234" s="211"/>
      <c r="F234" s="276"/>
      <c r="G234" s="278"/>
      <c r="H234" s="280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2"/>
    </row>
    <row r="235" spans="1:20" ht="13.5" customHeight="1" x14ac:dyDescent="0.25">
      <c r="A235" s="275"/>
      <c r="B235" s="275"/>
      <c r="C235" s="212" t="str">
        <f>IFERROR(VLOOKUP(C234,Списки!$E:$F,2,0)," ")</f>
        <v xml:space="preserve"> </v>
      </c>
      <c r="D235" s="277"/>
      <c r="E235" s="212" t="str">
        <f>IFERROR(VLOOKUP(E234,Списки!$E:$F,2,0)," ")</f>
        <v xml:space="preserve"> </v>
      </c>
      <c r="F235" s="277"/>
      <c r="G235" s="279"/>
      <c r="H235" s="280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2"/>
    </row>
    <row r="236" spans="1:20" ht="13.5" customHeight="1" x14ac:dyDescent="0.25">
      <c r="A236" s="274">
        <v>15</v>
      </c>
      <c r="B236" s="274"/>
      <c r="C236" s="211"/>
      <c r="D236" s="276"/>
      <c r="E236" s="211"/>
      <c r="F236" s="276"/>
      <c r="G236" s="278"/>
      <c r="H236" s="280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2"/>
    </row>
    <row r="237" spans="1:20" ht="13.5" customHeight="1" x14ac:dyDescent="0.25">
      <c r="A237" s="275"/>
      <c r="B237" s="275"/>
      <c r="C237" s="212" t="str">
        <f>IFERROR(VLOOKUP(C236,Списки!$E:$F,2,0)," ")</f>
        <v xml:space="preserve"> </v>
      </c>
      <c r="D237" s="277"/>
      <c r="E237" s="212" t="str">
        <f>IFERROR(VLOOKUP(E236,Списки!$E:$F,2,0)," ")</f>
        <v xml:space="preserve"> </v>
      </c>
      <c r="F237" s="277"/>
      <c r="G237" s="279"/>
      <c r="H237" s="280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2"/>
    </row>
    <row r="238" spans="1:20" x14ac:dyDescent="0.25">
      <c r="A238" s="214"/>
      <c r="B238" s="215"/>
      <c r="C238" s="214"/>
      <c r="D238" s="214"/>
      <c r="E238" s="216" t="s">
        <v>30</v>
      </c>
      <c r="F238" s="217">
        <f>IFERROR(SUM(IFERROR(IF((LOOKUP(9E+307,F208:F237))&gt;$M$39,(LOOKUP(9E+307,F208:F237))-$M$39,IF((LOOKUP(9E+307,F208:F237))&lt;0.166666667,0+(LOOKUP(9E+307,F208:F237))+1-$M$39,0)),0),(IF(AND(IF(D208,$M$38-D208,0)&gt;0,F208,F208&gt;D208),$M$38-D208,IF(AND(D208,F208,D208&gt;F208),"error",0)))),"ОШИБКА")</f>
        <v>0</v>
      </c>
      <c r="G238" s="218" t="s">
        <v>27</v>
      </c>
      <c r="H238" s="216">
        <f>SUM(H208:H237)</f>
        <v>0</v>
      </c>
      <c r="I238" s="8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2"/>
    </row>
    <row r="239" spans="1:20" ht="15.75" x14ac:dyDescent="0.25">
      <c r="A239" s="283">
        <f>DATE(K1,J1,8)</f>
        <v>43838</v>
      </c>
      <c r="B239" s="283"/>
      <c r="C239" s="283"/>
      <c r="D239" s="283"/>
      <c r="E239" s="283"/>
      <c r="F239" s="283"/>
      <c r="G239" s="283"/>
      <c r="H239" s="306"/>
      <c r="I239" s="8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2"/>
    </row>
    <row r="240" spans="1:20" ht="13.5" customHeight="1" x14ac:dyDescent="0.25">
      <c r="A240" s="291"/>
      <c r="B240" s="292" t="s">
        <v>34</v>
      </c>
      <c r="C240" s="219" t="s">
        <v>39</v>
      </c>
      <c r="D240" s="292" t="s">
        <v>36</v>
      </c>
      <c r="E240" s="219" t="s">
        <v>37</v>
      </c>
      <c r="F240" s="292" t="s">
        <v>36</v>
      </c>
      <c r="G240" s="293" t="s">
        <v>35</v>
      </c>
      <c r="H240" s="280" t="s">
        <v>40</v>
      </c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2"/>
    </row>
    <row r="241" spans="1:20" ht="13.5" customHeight="1" x14ac:dyDescent="0.25">
      <c r="A241" s="285"/>
      <c r="B241" s="288"/>
      <c r="C241" s="210" t="s">
        <v>38</v>
      </c>
      <c r="D241" s="288"/>
      <c r="E241" s="210" t="s">
        <v>38</v>
      </c>
      <c r="F241" s="288"/>
      <c r="G241" s="294"/>
      <c r="H241" s="280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2"/>
    </row>
    <row r="242" spans="1:20" ht="13.5" customHeight="1" x14ac:dyDescent="0.25">
      <c r="A242" s="274">
        <v>1</v>
      </c>
      <c r="B242" s="274"/>
      <c r="C242" s="211" t="s">
        <v>43</v>
      </c>
      <c r="D242" s="276"/>
      <c r="E242" s="211" t="s">
        <v>44</v>
      </c>
      <c r="F242" s="276"/>
      <c r="G242" s="278"/>
      <c r="H242" s="280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2"/>
    </row>
    <row r="243" spans="1:20" ht="13.5" customHeight="1" x14ac:dyDescent="0.25">
      <c r="A243" s="275"/>
      <c r="B243" s="275"/>
      <c r="C243" s="212" t="str">
        <f>IFERROR(VLOOKUP(C242,Списки!$E:$F,2,0)," ")</f>
        <v>SAVUSHKINA ST 128</v>
      </c>
      <c r="D243" s="277"/>
      <c r="E243" s="212" t="str">
        <f>IFERROR(VLOOKUP(E242,Списки!$E:$F,2,0)," ")</f>
        <v>LEVASHOVSKOE HWY 20</v>
      </c>
      <c r="F243" s="277"/>
      <c r="G243" s="279"/>
      <c r="H243" s="280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2"/>
    </row>
    <row r="244" spans="1:20" ht="13.5" customHeight="1" x14ac:dyDescent="0.25">
      <c r="A244" s="274">
        <v>2</v>
      </c>
      <c r="B244" s="274"/>
      <c r="C244" s="211" t="s">
        <v>44</v>
      </c>
      <c r="D244" s="276"/>
      <c r="E244" s="211"/>
      <c r="F244" s="276"/>
      <c r="G244" s="278"/>
      <c r="H244" s="280"/>
      <c r="I244" s="8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2"/>
    </row>
    <row r="245" spans="1:20" ht="13.5" customHeight="1" x14ac:dyDescent="0.25">
      <c r="A245" s="275"/>
      <c r="B245" s="275"/>
      <c r="C245" s="212" t="str">
        <f>IFERROR(VLOOKUP(C244,Списки!$E:$F,2,0)," ")</f>
        <v>LEVASHOVSKOE HWY 20</v>
      </c>
      <c r="D245" s="277"/>
      <c r="E245" s="212" t="str">
        <f>IFERROR(VLOOKUP(E244,Списки!$E:$F,2,0)," ")</f>
        <v xml:space="preserve"> </v>
      </c>
      <c r="F245" s="277"/>
      <c r="G245" s="279"/>
      <c r="H245" s="280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2"/>
    </row>
    <row r="246" spans="1:20" ht="13.5" customHeight="1" x14ac:dyDescent="0.25">
      <c r="A246" s="274">
        <v>3</v>
      </c>
      <c r="B246" s="274"/>
      <c r="C246" s="211"/>
      <c r="D246" s="276"/>
      <c r="E246" s="211"/>
      <c r="F246" s="276"/>
      <c r="G246" s="278"/>
      <c r="H246" s="280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2"/>
    </row>
    <row r="247" spans="1:20" ht="13.5" customHeight="1" x14ac:dyDescent="0.25">
      <c r="A247" s="275"/>
      <c r="B247" s="275"/>
      <c r="C247" s="212" t="str">
        <f>IFERROR(VLOOKUP(C246,Списки!$E:$F,2,0)," ")</f>
        <v xml:space="preserve"> </v>
      </c>
      <c r="D247" s="277"/>
      <c r="E247" s="212" t="str">
        <f>IFERROR(VLOOKUP(E246,Списки!$E:$F,2,0)," ")</f>
        <v xml:space="preserve"> </v>
      </c>
      <c r="F247" s="277"/>
      <c r="G247" s="279"/>
      <c r="H247" s="280"/>
      <c r="I247" s="8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2"/>
    </row>
    <row r="248" spans="1:20" ht="13.5" customHeight="1" x14ac:dyDescent="0.25">
      <c r="A248" s="274">
        <v>4</v>
      </c>
      <c r="B248" s="274"/>
      <c r="C248" s="211"/>
      <c r="D248" s="276"/>
      <c r="E248" s="211"/>
      <c r="F248" s="276"/>
      <c r="G248" s="278"/>
      <c r="H248" s="280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2"/>
    </row>
    <row r="249" spans="1:20" ht="13.5" customHeight="1" x14ac:dyDescent="0.25">
      <c r="A249" s="275"/>
      <c r="B249" s="275"/>
      <c r="C249" s="212" t="str">
        <f>IFERROR(VLOOKUP(C248,Списки!$E:$F,2,0)," ")</f>
        <v xml:space="preserve"> </v>
      </c>
      <c r="D249" s="277"/>
      <c r="E249" s="212" t="str">
        <f>IFERROR(VLOOKUP(E248,Списки!$E:$F,2,0)," ")</f>
        <v xml:space="preserve"> </v>
      </c>
      <c r="F249" s="277"/>
      <c r="G249" s="279"/>
      <c r="H249" s="280"/>
      <c r="I249" s="8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2"/>
    </row>
    <row r="250" spans="1:20" ht="13.5" customHeight="1" x14ac:dyDescent="0.25">
      <c r="A250" s="274">
        <v>5</v>
      </c>
      <c r="B250" s="274"/>
      <c r="C250" s="211"/>
      <c r="D250" s="276"/>
      <c r="E250" s="213"/>
      <c r="F250" s="276"/>
      <c r="G250" s="278"/>
      <c r="H250" s="280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2"/>
    </row>
    <row r="251" spans="1:20" ht="13.5" customHeight="1" x14ac:dyDescent="0.25">
      <c r="A251" s="275"/>
      <c r="B251" s="275"/>
      <c r="C251" s="212" t="str">
        <f>IFERROR(VLOOKUP(C250,Списки!$E:$F,2,0)," ")</f>
        <v xml:space="preserve"> </v>
      </c>
      <c r="D251" s="277"/>
      <c r="E251" s="213" t="str">
        <f>IFERROR(VLOOKUP(E250,Списки!$E:$F,2,0)," ")</f>
        <v xml:space="preserve"> </v>
      </c>
      <c r="F251" s="277"/>
      <c r="G251" s="279"/>
      <c r="H251" s="280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2"/>
    </row>
    <row r="252" spans="1:20" ht="13.5" customHeight="1" x14ac:dyDescent="0.25">
      <c r="A252" s="274">
        <v>6</v>
      </c>
      <c r="B252" s="274"/>
      <c r="C252" s="211"/>
      <c r="D252" s="276"/>
      <c r="E252" s="211"/>
      <c r="F252" s="276"/>
      <c r="G252" s="278"/>
      <c r="H252" s="280"/>
      <c r="I252" s="8"/>
      <c r="J252" s="8"/>
      <c r="K252" s="8"/>
      <c r="L252" s="8"/>
      <c r="M252" s="8"/>
      <c r="N252" s="8"/>
      <c r="O252" s="8"/>
      <c r="P252" s="8"/>
      <c r="Q252" s="8"/>
      <c r="R252" s="8"/>
      <c r="S252" s="8"/>
      <c r="T252" s="82"/>
    </row>
    <row r="253" spans="1:20" ht="13.5" customHeight="1" x14ac:dyDescent="0.25">
      <c r="A253" s="275"/>
      <c r="B253" s="275"/>
      <c r="C253" s="212" t="str">
        <f>IFERROR(VLOOKUP(C252,Списки!$E:$F,2,0)," ")</f>
        <v xml:space="preserve"> </v>
      </c>
      <c r="D253" s="277"/>
      <c r="E253" s="213" t="str">
        <f>IFERROR(VLOOKUP(E252,Списки!$E:$F,2,0)," ")</f>
        <v xml:space="preserve"> </v>
      </c>
      <c r="F253" s="277"/>
      <c r="G253" s="279"/>
      <c r="H253" s="280"/>
      <c r="I253" s="8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2"/>
    </row>
    <row r="254" spans="1:20" ht="13.5" customHeight="1" x14ac:dyDescent="0.25">
      <c r="A254" s="274">
        <v>7</v>
      </c>
      <c r="B254" s="274"/>
      <c r="C254" s="211"/>
      <c r="D254" s="276"/>
      <c r="E254" s="211"/>
      <c r="F254" s="276"/>
      <c r="G254" s="278"/>
      <c r="H254" s="280"/>
      <c r="I254" s="8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2"/>
    </row>
    <row r="255" spans="1:20" ht="13.5" customHeight="1" x14ac:dyDescent="0.25">
      <c r="A255" s="275"/>
      <c r="B255" s="275"/>
      <c r="C255" s="213" t="str">
        <f>IFERROR(VLOOKUP(C254,Списки!$E:$F,2,0)," ")</f>
        <v xml:space="preserve"> </v>
      </c>
      <c r="D255" s="277"/>
      <c r="E255" s="212" t="str">
        <f>IFERROR(VLOOKUP(E254,Списки!$E:$F,2,0)," ")</f>
        <v xml:space="preserve"> </v>
      </c>
      <c r="F255" s="277"/>
      <c r="G255" s="279"/>
      <c r="H255" s="280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2"/>
    </row>
    <row r="256" spans="1:20" ht="13.5" customHeight="1" x14ac:dyDescent="0.25">
      <c r="A256" s="274">
        <v>8</v>
      </c>
      <c r="B256" s="274"/>
      <c r="C256" s="211"/>
      <c r="D256" s="276"/>
      <c r="E256" s="211"/>
      <c r="F256" s="276"/>
      <c r="G256" s="278"/>
      <c r="H256" s="280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2"/>
    </row>
    <row r="257" spans="1:20" ht="13.5" customHeight="1" x14ac:dyDescent="0.25">
      <c r="A257" s="275"/>
      <c r="B257" s="275"/>
      <c r="C257" s="213" t="str">
        <f>IFERROR(VLOOKUP(C256,Списки!$E:$F,2,0)," ")</f>
        <v xml:space="preserve"> </v>
      </c>
      <c r="D257" s="277"/>
      <c r="E257" s="212" t="str">
        <f>IFERROR(VLOOKUP(E256,Списки!$E:$F,2,0)," ")</f>
        <v xml:space="preserve"> </v>
      </c>
      <c r="F257" s="277"/>
      <c r="G257" s="279"/>
      <c r="H257" s="280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2"/>
    </row>
    <row r="258" spans="1:20" ht="13.5" customHeight="1" x14ac:dyDescent="0.25">
      <c r="A258" s="274">
        <v>9</v>
      </c>
      <c r="B258" s="274"/>
      <c r="C258" s="211"/>
      <c r="D258" s="276"/>
      <c r="E258" s="211"/>
      <c r="F258" s="276"/>
      <c r="G258" s="278"/>
      <c r="H258" s="280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2"/>
    </row>
    <row r="259" spans="1:20" ht="13.5" customHeight="1" x14ac:dyDescent="0.25">
      <c r="A259" s="275"/>
      <c r="B259" s="275"/>
      <c r="C259" s="212" t="str">
        <f>IFERROR(VLOOKUP(C258,Списки!$E:$F,2,0)," ")</f>
        <v xml:space="preserve"> </v>
      </c>
      <c r="D259" s="277"/>
      <c r="E259" s="212" t="str">
        <f>IFERROR(VLOOKUP(E258,Списки!$E:$F,2,0)," ")</f>
        <v xml:space="preserve"> </v>
      </c>
      <c r="F259" s="277"/>
      <c r="G259" s="279"/>
      <c r="H259" s="280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2"/>
    </row>
    <row r="260" spans="1:20" ht="13.5" customHeight="1" x14ac:dyDescent="0.25">
      <c r="A260" s="274">
        <v>10</v>
      </c>
      <c r="B260" s="274"/>
      <c r="C260" s="211"/>
      <c r="D260" s="276"/>
      <c r="E260" s="211"/>
      <c r="F260" s="276"/>
      <c r="G260" s="278"/>
      <c r="H260" s="280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2"/>
    </row>
    <row r="261" spans="1:20" ht="13.5" customHeight="1" x14ac:dyDescent="0.25">
      <c r="A261" s="275"/>
      <c r="B261" s="275"/>
      <c r="C261" s="212" t="str">
        <f>IFERROR(VLOOKUP(C260,Списки!$E:$F,2,0)," ")</f>
        <v xml:space="preserve"> </v>
      </c>
      <c r="D261" s="277"/>
      <c r="E261" s="212" t="str">
        <f>IFERROR(VLOOKUP(E260,Списки!$E:$F,2,0)," ")</f>
        <v xml:space="preserve"> </v>
      </c>
      <c r="F261" s="277"/>
      <c r="G261" s="279"/>
      <c r="H261" s="280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2"/>
    </row>
    <row r="262" spans="1:20" ht="13.5" customHeight="1" x14ac:dyDescent="0.25">
      <c r="A262" s="274">
        <v>11</v>
      </c>
      <c r="B262" s="274"/>
      <c r="C262" s="211"/>
      <c r="D262" s="276"/>
      <c r="E262" s="211"/>
      <c r="F262" s="276"/>
      <c r="G262" s="278"/>
      <c r="H262" s="280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2"/>
    </row>
    <row r="263" spans="1:20" ht="13.5" customHeight="1" x14ac:dyDescent="0.25">
      <c r="A263" s="275"/>
      <c r="B263" s="275"/>
      <c r="C263" s="212" t="str">
        <f>IFERROR(VLOOKUP(C262,Списки!$E:$F,2,0)," ")</f>
        <v xml:space="preserve"> </v>
      </c>
      <c r="D263" s="277"/>
      <c r="E263" s="212" t="str">
        <f>IFERROR(VLOOKUP(E262,Списки!$E:$F,2,0)," ")</f>
        <v xml:space="preserve"> </v>
      </c>
      <c r="F263" s="277"/>
      <c r="G263" s="279"/>
      <c r="H263" s="280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2"/>
    </row>
    <row r="264" spans="1:20" ht="13.5" customHeight="1" x14ac:dyDescent="0.25">
      <c r="A264" s="274">
        <v>12</v>
      </c>
      <c r="B264" s="274"/>
      <c r="C264" s="211"/>
      <c r="D264" s="276"/>
      <c r="E264" s="211"/>
      <c r="F264" s="276"/>
      <c r="G264" s="278"/>
      <c r="H264" s="280"/>
      <c r="I264" s="8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2"/>
    </row>
    <row r="265" spans="1:20" ht="13.5" customHeight="1" x14ac:dyDescent="0.25">
      <c r="A265" s="275"/>
      <c r="B265" s="275"/>
      <c r="C265" s="212" t="str">
        <f>IFERROR(VLOOKUP(C264,Списки!$E:$F,2,0)," ")</f>
        <v xml:space="preserve"> </v>
      </c>
      <c r="D265" s="277"/>
      <c r="E265" s="212" t="str">
        <f>IFERROR(VLOOKUP(E264,Списки!$E:$F,2,0)," ")</f>
        <v xml:space="preserve"> </v>
      </c>
      <c r="F265" s="277"/>
      <c r="G265" s="279"/>
      <c r="H265" s="280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2"/>
    </row>
    <row r="266" spans="1:20" ht="13.5" customHeight="1" x14ac:dyDescent="0.25">
      <c r="A266" s="274">
        <v>13</v>
      </c>
      <c r="B266" s="274"/>
      <c r="C266" s="211"/>
      <c r="D266" s="276"/>
      <c r="E266" s="211"/>
      <c r="F266" s="276"/>
      <c r="G266" s="278"/>
      <c r="H266" s="280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2"/>
    </row>
    <row r="267" spans="1:20" ht="13.5" customHeight="1" x14ac:dyDescent="0.25">
      <c r="A267" s="275"/>
      <c r="B267" s="275"/>
      <c r="C267" s="212" t="str">
        <f>IFERROR(VLOOKUP(C266,Списки!$E:$F,2,0)," ")</f>
        <v xml:space="preserve"> </v>
      </c>
      <c r="D267" s="277"/>
      <c r="E267" s="212" t="str">
        <f>IFERROR(VLOOKUP(E266,Списки!$E:$F,2,0)," ")</f>
        <v xml:space="preserve"> </v>
      </c>
      <c r="F267" s="277"/>
      <c r="G267" s="279"/>
      <c r="H267" s="280"/>
      <c r="I267" s="8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2"/>
    </row>
    <row r="268" spans="1:20" ht="13.5" customHeight="1" x14ac:dyDescent="0.25">
      <c r="A268" s="274">
        <v>14</v>
      </c>
      <c r="B268" s="274"/>
      <c r="C268" s="211"/>
      <c r="D268" s="276"/>
      <c r="E268" s="211"/>
      <c r="F268" s="276"/>
      <c r="G268" s="278"/>
      <c r="H268" s="280"/>
      <c r="I268" s="8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2"/>
    </row>
    <row r="269" spans="1:20" ht="13.5" customHeight="1" x14ac:dyDescent="0.25">
      <c r="A269" s="275"/>
      <c r="B269" s="275"/>
      <c r="C269" s="212" t="str">
        <f>IFERROR(VLOOKUP(C268,Списки!$E:$F,2,0)," ")</f>
        <v xml:space="preserve"> </v>
      </c>
      <c r="D269" s="277"/>
      <c r="E269" s="212" t="str">
        <f>IFERROR(VLOOKUP(E268,Списки!$E:$F,2,0)," ")</f>
        <v xml:space="preserve"> </v>
      </c>
      <c r="F269" s="277"/>
      <c r="G269" s="279"/>
      <c r="H269" s="280"/>
      <c r="I269" s="8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2"/>
    </row>
    <row r="270" spans="1:20" ht="13.5" customHeight="1" x14ac:dyDescent="0.25">
      <c r="A270" s="274">
        <v>15</v>
      </c>
      <c r="B270" s="274"/>
      <c r="C270" s="211"/>
      <c r="D270" s="276"/>
      <c r="E270" s="211"/>
      <c r="F270" s="276"/>
      <c r="G270" s="278"/>
      <c r="H270" s="280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2"/>
    </row>
    <row r="271" spans="1:20" ht="13.5" customHeight="1" x14ac:dyDescent="0.25">
      <c r="A271" s="275"/>
      <c r="B271" s="275"/>
      <c r="C271" s="212" t="str">
        <f>IFERROR(VLOOKUP(C270,Списки!$E:$F,2,0)," ")</f>
        <v xml:space="preserve"> </v>
      </c>
      <c r="D271" s="277"/>
      <c r="E271" s="212" t="str">
        <f>IFERROR(VLOOKUP(E270,Списки!$E:$F,2,0)," ")</f>
        <v xml:space="preserve"> </v>
      </c>
      <c r="F271" s="277"/>
      <c r="G271" s="279"/>
      <c r="H271" s="280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2"/>
    </row>
    <row r="272" spans="1:20" x14ac:dyDescent="0.25">
      <c r="A272" s="214"/>
      <c r="B272" s="215"/>
      <c r="C272" s="214"/>
      <c r="D272" s="214"/>
      <c r="E272" s="216" t="s">
        <v>30</v>
      </c>
      <c r="F272" s="217">
        <f>IFERROR(SUM(IFERROR(IF((LOOKUP(9E+307,F242:F271))&gt;$M$39,(LOOKUP(9E+307,F242:F271))-$M$39,IF((LOOKUP(9E+307,F242:F271))&lt;0.166666667,0+(LOOKUP(9E+307,F242:F271))+1-$M$39,0)),0),(IF(AND(IF(D242,$M$38-D242,0)&gt;0,F242,F242&gt;D242),$M$38-D242,IF(AND(D242,F242,D242&gt;F242),"error",0)))),"ОШИБКА")</f>
        <v>0</v>
      </c>
      <c r="G272" s="218" t="s">
        <v>27</v>
      </c>
      <c r="H272" s="216">
        <f>SUM(H242:H271)</f>
        <v>0</v>
      </c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2"/>
    </row>
    <row r="273" spans="1:20" ht="15.75" x14ac:dyDescent="0.25">
      <c r="A273" s="316">
        <f>DATE(K1,J1,9)</f>
        <v>43839</v>
      </c>
      <c r="B273" s="316"/>
      <c r="C273" s="316"/>
      <c r="D273" s="316"/>
      <c r="E273" s="316"/>
      <c r="F273" s="316"/>
      <c r="G273" s="316"/>
      <c r="H273" s="317"/>
      <c r="I273" s="8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2"/>
    </row>
    <row r="274" spans="1:20" ht="13.5" customHeight="1" x14ac:dyDescent="0.25">
      <c r="A274" s="318"/>
      <c r="B274" s="320" t="s">
        <v>34</v>
      </c>
      <c r="C274" s="205" t="s">
        <v>39</v>
      </c>
      <c r="D274" s="322" t="s">
        <v>36</v>
      </c>
      <c r="E274" s="205" t="s">
        <v>37</v>
      </c>
      <c r="F274" s="320" t="s">
        <v>36</v>
      </c>
      <c r="G274" s="324" t="s">
        <v>35</v>
      </c>
      <c r="H274" s="315" t="s">
        <v>40</v>
      </c>
      <c r="I274" s="8"/>
      <c r="J274" s="8"/>
      <c r="K274" s="8"/>
      <c r="L274" s="8"/>
      <c r="M274" s="8"/>
      <c r="N274" s="8"/>
      <c r="O274" s="8"/>
      <c r="P274" s="8"/>
      <c r="Q274" s="8"/>
      <c r="R274" s="8"/>
      <c r="S274" s="8"/>
      <c r="T274" s="82"/>
    </row>
    <row r="275" spans="1:20" ht="13.5" customHeight="1" x14ac:dyDescent="0.25">
      <c r="A275" s="319"/>
      <c r="B275" s="321"/>
      <c r="C275" s="204" t="s">
        <v>38</v>
      </c>
      <c r="D275" s="323"/>
      <c r="E275" s="204" t="s">
        <v>38</v>
      </c>
      <c r="F275" s="321"/>
      <c r="G275" s="325"/>
      <c r="H275" s="315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2"/>
    </row>
    <row r="276" spans="1:20" ht="13.5" customHeight="1" x14ac:dyDescent="0.25">
      <c r="A276" s="307">
        <v>1</v>
      </c>
      <c r="B276" s="307" t="s">
        <v>142</v>
      </c>
      <c r="C276" s="207" t="s">
        <v>44</v>
      </c>
      <c r="D276" s="309">
        <v>0.72916666666666663</v>
      </c>
      <c r="E276" s="170"/>
      <c r="F276" s="311">
        <v>0.75</v>
      </c>
      <c r="G276" s="313" t="s">
        <v>362</v>
      </c>
      <c r="H276" s="315">
        <v>22</v>
      </c>
      <c r="I276" s="8"/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2"/>
    </row>
    <row r="277" spans="1:20" ht="13.5" customHeight="1" x14ac:dyDescent="0.25">
      <c r="A277" s="308"/>
      <c r="B277" s="308"/>
      <c r="C277" s="171" t="str">
        <f>IFERROR(VLOOKUP(C276,Списки!$E:$F,2,0)," ")</f>
        <v>LEVASHOVSKOE HWY 20</v>
      </c>
      <c r="D277" s="310"/>
      <c r="E277" s="208" t="s">
        <v>360</v>
      </c>
      <c r="F277" s="312"/>
      <c r="G277" s="314"/>
      <c r="H277" s="315"/>
      <c r="I277" s="8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2"/>
    </row>
    <row r="278" spans="1:20" ht="13.5" customHeight="1" x14ac:dyDescent="0.25">
      <c r="A278" s="307">
        <v>2</v>
      </c>
      <c r="B278" s="307" t="s">
        <v>141</v>
      </c>
      <c r="C278" s="170"/>
      <c r="D278" s="309">
        <v>0.75</v>
      </c>
      <c r="E278" s="207" t="s">
        <v>216</v>
      </c>
      <c r="F278" s="311">
        <v>0.77777777777777779</v>
      </c>
      <c r="G278" s="313" t="s">
        <v>362</v>
      </c>
      <c r="H278" s="315">
        <v>5</v>
      </c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2"/>
    </row>
    <row r="279" spans="1:20" ht="13.5" customHeight="1" x14ac:dyDescent="0.25">
      <c r="A279" s="308"/>
      <c r="B279" s="308"/>
      <c r="C279" s="208" t="s">
        <v>360</v>
      </c>
      <c r="D279" s="310"/>
      <c r="E279" s="208" t="s">
        <v>363</v>
      </c>
      <c r="F279" s="312"/>
      <c r="G279" s="314"/>
      <c r="H279" s="315"/>
      <c r="I279" s="8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2"/>
    </row>
    <row r="280" spans="1:20" ht="13.5" customHeight="1" x14ac:dyDescent="0.25">
      <c r="A280" s="307">
        <v>3</v>
      </c>
      <c r="B280" s="307"/>
      <c r="C280" s="207" t="s">
        <v>216</v>
      </c>
      <c r="D280" s="309">
        <v>0.77777777777777779</v>
      </c>
      <c r="E280" s="207" t="s">
        <v>45</v>
      </c>
      <c r="F280" s="311">
        <v>0.79861111111111116</v>
      </c>
      <c r="G280" s="313" t="s">
        <v>362</v>
      </c>
      <c r="H280" s="315">
        <v>16</v>
      </c>
      <c r="I280" s="8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2"/>
    </row>
    <row r="281" spans="1:20" ht="13.5" customHeight="1" x14ac:dyDescent="0.25">
      <c r="A281" s="308"/>
      <c r="B281" s="308"/>
      <c r="C281" s="208" t="s">
        <v>363</v>
      </c>
      <c r="D281" s="310"/>
      <c r="E281" s="171" t="str">
        <f>IFERROR(VLOOKUP(E280,Списки!$E:$F,2,0)," ")</f>
        <v>SAVUSHKINA ST 128</v>
      </c>
      <c r="F281" s="312"/>
      <c r="G281" s="314"/>
      <c r="H281" s="315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2"/>
    </row>
    <row r="282" spans="1:20" ht="13.5" customHeight="1" x14ac:dyDescent="0.25">
      <c r="A282" s="307">
        <v>4</v>
      </c>
      <c r="B282" s="307"/>
      <c r="C282" s="170"/>
      <c r="D282" s="309"/>
      <c r="E282" s="170"/>
      <c r="F282" s="311"/>
      <c r="G282" s="313"/>
      <c r="H282" s="315"/>
      <c r="I282" s="8"/>
      <c r="J282" s="8"/>
      <c r="K282" s="8"/>
      <c r="L282" s="8"/>
      <c r="M282" s="8"/>
      <c r="N282" s="8"/>
      <c r="O282" s="8"/>
      <c r="P282" s="8"/>
      <c r="Q282" s="8"/>
      <c r="R282" s="8"/>
      <c r="S282" s="8"/>
      <c r="T282" s="82"/>
    </row>
    <row r="283" spans="1:20" ht="13.5" customHeight="1" x14ac:dyDescent="0.25">
      <c r="A283" s="308"/>
      <c r="B283" s="308"/>
      <c r="C283" s="171" t="str">
        <f>IFERROR(VLOOKUP(C282,Списки!$E:$F,2,0)," ")</f>
        <v xml:space="preserve"> </v>
      </c>
      <c r="D283" s="310"/>
      <c r="E283" s="171" t="str">
        <f>IFERROR(VLOOKUP(E282,Списки!$E:$F,2,0)," ")</f>
        <v xml:space="preserve"> </v>
      </c>
      <c r="F283" s="312"/>
      <c r="G283" s="314"/>
      <c r="H283" s="315"/>
      <c r="I283" s="8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2"/>
    </row>
    <row r="284" spans="1:20" ht="13.5" customHeight="1" x14ac:dyDescent="0.25">
      <c r="A284" s="307">
        <v>5</v>
      </c>
      <c r="B284" s="307"/>
      <c r="C284" s="170" t="s">
        <v>43</v>
      </c>
      <c r="D284" s="309"/>
      <c r="E284" s="170" t="s">
        <v>44</v>
      </c>
      <c r="F284" s="311">
        <v>0.31944444444444448</v>
      </c>
      <c r="G284" s="313"/>
      <c r="H284" s="315">
        <v>17</v>
      </c>
      <c r="I284" s="8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2"/>
    </row>
    <row r="285" spans="1:20" ht="13.5" customHeight="1" x14ac:dyDescent="0.25">
      <c r="A285" s="308"/>
      <c r="B285" s="308"/>
      <c r="C285" s="171" t="str">
        <f>IFERROR(VLOOKUP(C284,Списки!$E:$F,2,0)," ")</f>
        <v>SAVUSHKINA ST 128</v>
      </c>
      <c r="D285" s="310"/>
      <c r="E285" s="171" t="str">
        <f>IFERROR(VLOOKUP(E284,Списки!$E:$F,2,0)," ")</f>
        <v>LEVASHOVSKOE HWY 20</v>
      </c>
      <c r="F285" s="312"/>
      <c r="G285" s="314"/>
      <c r="H285" s="315"/>
      <c r="I285" s="8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2"/>
    </row>
    <row r="286" spans="1:20" ht="13.5" customHeight="1" x14ac:dyDescent="0.25">
      <c r="A286" s="307">
        <v>6</v>
      </c>
      <c r="B286" s="307" t="s">
        <v>51</v>
      </c>
      <c r="C286" s="170" t="s">
        <v>44</v>
      </c>
      <c r="D286" s="309">
        <v>0.4375</v>
      </c>
      <c r="E286" s="220" t="s">
        <v>52</v>
      </c>
      <c r="F286" s="311">
        <v>0.44444444444444442</v>
      </c>
      <c r="G286" s="313" t="s">
        <v>371</v>
      </c>
      <c r="H286" s="315" t="s">
        <v>338</v>
      </c>
      <c r="I286" s="8"/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2"/>
    </row>
    <row r="287" spans="1:20" ht="13.5" customHeight="1" x14ac:dyDescent="0.25">
      <c r="A287" s="308"/>
      <c r="B287" s="308"/>
      <c r="C287" s="171" t="str">
        <f>IFERROR(VLOOKUP(C286,Списки!$E:$F,2,0)," ")</f>
        <v>LEVASHOVSKOE HWY 20</v>
      </c>
      <c r="D287" s="310"/>
      <c r="E287" s="171" t="str">
        <f>IFERROR(VLOOKUP(E286,Списки!$E:$F,2,0)," ")</f>
        <v>LEVASHOVSKOE HWY 6</v>
      </c>
      <c r="F287" s="312"/>
      <c r="G287" s="314"/>
      <c r="H287" s="315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2"/>
    </row>
    <row r="288" spans="1:20" ht="13.5" customHeight="1" x14ac:dyDescent="0.25">
      <c r="A288" s="307">
        <v>7</v>
      </c>
      <c r="B288" s="307"/>
      <c r="C288" s="220" t="s">
        <v>52</v>
      </c>
      <c r="D288" s="309">
        <v>0.47916666666666669</v>
      </c>
      <c r="E288" s="220" t="s">
        <v>44</v>
      </c>
      <c r="F288" s="311">
        <v>0.49305555555555558</v>
      </c>
      <c r="G288" s="313"/>
      <c r="H288" s="315" t="s">
        <v>338</v>
      </c>
      <c r="I288" s="8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2"/>
    </row>
    <row r="289" spans="1:20" ht="13.5" customHeight="1" x14ac:dyDescent="0.25">
      <c r="A289" s="308"/>
      <c r="B289" s="308"/>
      <c r="C289" s="179" t="str">
        <f>IFERROR(VLOOKUP(C288,Списки!$E:$F,2,0)," ")</f>
        <v>LEVASHOVSKOE HWY 6</v>
      </c>
      <c r="D289" s="310"/>
      <c r="E289" s="171" t="str">
        <f>IFERROR(VLOOKUP(E288,Списки!$E:$F,2,0)," ")</f>
        <v>LEVASHOVSKOE HWY 20</v>
      </c>
      <c r="F289" s="312"/>
      <c r="G289" s="314"/>
      <c r="H289" s="315"/>
      <c r="I289" s="8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2"/>
    </row>
    <row r="290" spans="1:20" ht="13.5" customHeight="1" x14ac:dyDescent="0.25">
      <c r="A290" s="307">
        <v>8</v>
      </c>
      <c r="B290" s="307" t="s">
        <v>105</v>
      </c>
      <c r="C290" s="220" t="s">
        <v>44</v>
      </c>
      <c r="D290" s="309">
        <v>0.52777777777777779</v>
      </c>
      <c r="E290" s="220" t="s">
        <v>231</v>
      </c>
      <c r="F290" s="311">
        <v>0.55555555555555558</v>
      </c>
      <c r="G290" s="313" t="s">
        <v>137</v>
      </c>
      <c r="H290" s="315">
        <v>35</v>
      </c>
      <c r="I290" s="8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2"/>
    </row>
    <row r="291" spans="1:20" ht="13.5" customHeight="1" x14ac:dyDescent="0.25">
      <c r="A291" s="308"/>
      <c r="B291" s="308"/>
      <c r="C291" s="179" t="str">
        <f>IFERROR(VLOOKUP(C290,Списки!$E:$F,2,0)," ")</f>
        <v>LEVASHOVSKOE HWY 20</v>
      </c>
      <c r="D291" s="310"/>
      <c r="E291" s="171" t="str">
        <f>IFERROR(VLOOKUP(E290,Списки!$E:$F,2,0)," ")</f>
        <v>OBVOD KANALA EMB 24D</v>
      </c>
      <c r="F291" s="312"/>
      <c r="G291" s="314"/>
      <c r="H291" s="315"/>
      <c r="I291" s="8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2"/>
    </row>
    <row r="292" spans="1:20" ht="13.5" customHeight="1" x14ac:dyDescent="0.25">
      <c r="A292" s="307">
        <v>9</v>
      </c>
      <c r="B292" s="307" t="s">
        <v>51</v>
      </c>
      <c r="C292" s="220" t="s">
        <v>231</v>
      </c>
      <c r="D292" s="309">
        <v>0.56944444444444442</v>
      </c>
      <c r="E292" s="220" t="s">
        <v>157</v>
      </c>
      <c r="F292" s="311">
        <v>0.59027777777777779</v>
      </c>
      <c r="G292" s="313" t="s">
        <v>336</v>
      </c>
      <c r="H292" s="315">
        <v>14</v>
      </c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2"/>
    </row>
    <row r="293" spans="1:20" ht="13.5" customHeight="1" x14ac:dyDescent="0.25">
      <c r="A293" s="308"/>
      <c r="B293" s="308"/>
      <c r="C293" s="171" t="str">
        <f>IFERROR(VLOOKUP(C292,Списки!$E:$F,2,0)," ")</f>
        <v>OBVOD KANALA EMB 24D</v>
      </c>
      <c r="D293" s="310"/>
      <c r="E293" s="171" t="str">
        <f>IFERROR(VLOOKUP(E292,Списки!$E:$F,2,0)," ")</f>
        <v>STUDENCHESKAYA ST 10</v>
      </c>
      <c r="F293" s="312"/>
      <c r="G293" s="314"/>
      <c r="H293" s="315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2"/>
    </row>
    <row r="294" spans="1:20" ht="13.5" customHeight="1" x14ac:dyDescent="0.25">
      <c r="A294" s="307">
        <v>10</v>
      </c>
      <c r="B294" s="307" t="s">
        <v>105</v>
      </c>
      <c r="C294" s="220" t="s">
        <v>157</v>
      </c>
      <c r="D294" s="309">
        <v>0.60416666666666663</v>
      </c>
      <c r="E294" s="220" t="s">
        <v>364</v>
      </c>
      <c r="F294" s="311">
        <v>0.61805555555555558</v>
      </c>
      <c r="G294" s="313" t="s">
        <v>372</v>
      </c>
      <c r="H294" s="315">
        <v>5</v>
      </c>
      <c r="I294" s="8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2"/>
    </row>
    <row r="295" spans="1:20" ht="13.5" customHeight="1" x14ac:dyDescent="0.25">
      <c r="A295" s="308"/>
      <c r="B295" s="308"/>
      <c r="C295" s="171" t="str">
        <f>IFERROR(VLOOKUP(C294,Списки!$E:$F,2,0)," ")</f>
        <v>STUDENCHESKAYA ST 10</v>
      </c>
      <c r="D295" s="310"/>
      <c r="E295" s="221" t="s">
        <v>365</v>
      </c>
      <c r="F295" s="312"/>
      <c r="G295" s="314"/>
      <c r="H295" s="315"/>
      <c r="I295" s="8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2"/>
    </row>
    <row r="296" spans="1:20" ht="13.5" customHeight="1" x14ac:dyDescent="0.25">
      <c r="A296" s="307">
        <v>11</v>
      </c>
      <c r="B296" s="307" t="s">
        <v>51</v>
      </c>
      <c r="C296" s="220" t="s">
        <v>364</v>
      </c>
      <c r="D296" s="309">
        <v>0.625</v>
      </c>
      <c r="E296" s="220" t="s">
        <v>226</v>
      </c>
      <c r="F296" s="311">
        <v>0.64583333333333337</v>
      </c>
      <c r="G296" s="313" t="s">
        <v>184</v>
      </c>
      <c r="H296" s="315">
        <v>33</v>
      </c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2"/>
    </row>
    <row r="297" spans="1:20" ht="13.5" customHeight="1" x14ac:dyDescent="0.25">
      <c r="A297" s="308"/>
      <c r="B297" s="308"/>
      <c r="C297" s="221" t="s">
        <v>365</v>
      </c>
      <c r="D297" s="310"/>
      <c r="E297" s="171" t="str">
        <f>IFERROR(VLOOKUP(E296,Списки!$E:$F,2,0)," ")</f>
        <v>VOLODARSKOGO ST 3</v>
      </c>
      <c r="F297" s="312"/>
      <c r="G297" s="314"/>
      <c r="H297" s="315"/>
      <c r="I297" s="8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2"/>
    </row>
    <row r="298" spans="1:20" ht="13.5" customHeight="1" x14ac:dyDescent="0.25">
      <c r="A298" s="307">
        <v>12</v>
      </c>
      <c r="B298" s="307"/>
      <c r="C298" s="220" t="s">
        <v>226</v>
      </c>
      <c r="D298" s="309">
        <v>0.65972222222222221</v>
      </c>
      <c r="E298" s="220" t="s">
        <v>44</v>
      </c>
      <c r="F298" s="311">
        <v>0.68055555555555547</v>
      </c>
      <c r="G298" s="313"/>
      <c r="H298" s="315">
        <v>19</v>
      </c>
      <c r="I298" s="8"/>
      <c r="J298" s="8"/>
      <c r="K298" s="8"/>
      <c r="L298" s="8"/>
      <c r="M298" s="8"/>
      <c r="N298" s="8"/>
      <c r="O298" s="8"/>
      <c r="P298" s="8"/>
      <c r="Q298" s="8"/>
      <c r="R298" s="8"/>
      <c r="S298" s="8"/>
      <c r="T298" s="82"/>
    </row>
    <row r="299" spans="1:20" ht="13.5" customHeight="1" x14ac:dyDescent="0.25">
      <c r="A299" s="308"/>
      <c r="B299" s="308"/>
      <c r="C299" s="171" t="str">
        <f>IFERROR(VLOOKUP(C298,Списки!$E:$F,2,0)," ")</f>
        <v>VOLODARSKOGO ST 3</v>
      </c>
      <c r="D299" s="310"/>
      <c r="E299" s="171" t="str">
        <f>IFERROR(VLOOKUP(E298,Списки!$E:$F,2,0)," ")</f>
        <v>LEVASHOVSKOE HWY 20</v>
      </c>
      <c r="F299" s="312"/>
      <c r="G299" s="314"/>
      <c r="H299" s="315"/>
      <c r="I299" s="8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2"/>
    </row>
    <row r="300" spans="1:20" ht="13.5" customHeight="1" x14ac:dyDescent="0.25">
      <c r="A300" s="307">
        <v>13</v>
      </c>
      <c r="B300" s="307"/>
      <c r="C300" s="220" t="s">
        <v>44</v>
      </c>
      <c r="D300" s="309">
        <v>0.70833333333333337</v>
      </c>
      <c r="E300" s="220" t="s">
        <v>45</v>
      </c>
      <c r="F300" s="311"/>
      <c r="G300" s="313"/>
      <c r="H300" s="315">
        <v>16</v>
      </c>
      <c r="I300" s="8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2"/>
    </row>
    <row r="301" spans="1:20" ht="13.5" customHeight="1" x14ac:dyDescent="0.25">
      <c r="A301" s="308"/>
      <c r="B301" s="308"/>
      <c r="C301" s="171" t="str">
        <f>IFERROR(VLOOKUP(C300,Списки!$E:$F,2,0)," ")</f>
        <v>LEVASHOVSKOE HWY 20</v>
      </c>
      <c r="D301" s="310"/>
      <c r="E301" s="171" t="str">
        <f>IFERROR(VLOOKUP(E300,Списки!$E:$F,2,0)," ")</f>
        <v>SAVUSHKINA ST 128</v>
      </c>
      <c r="F301" s="312"/>
      <c r="G301" s="314"/>
      <c r="H301" s="315"/>
      <c r="I301" s="8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2"/>
    </row>
    <row r="302" spans="1:20" ht="13.5" customHeight="1" x14ac:dyDescent="0.25">
      <c r="A302" s="307">
        <v>14</v>
      </c>
      <c r="B302" s="307"/>
      <c r="C302" s="170"/>
      <c r="D302" s="309"/>
      <c r="E302" s="170"/>
      <c r="F302" s="311"/>
      <c r="G302" s="313"/>
      <c r="H302" s="315"/>
      <c r="I302" s="8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2"/>
    </row>
    <row r="303" spans="1:20" ht="13.5" customHeight="1" x14ac:dyDescent="0.25">
      <c r="A303" s="308"/>
      <c r="B303" s="308"/>
      <c r="C303" s="171" t="str">
        <f>IFERROR(VLOOKUP(C302,Списки!$E:$F,2,0)," ")</f>
        <v xml:space="preserve"> </v>
      </c>
      <c r="D303" s="310"/>
      <c r="E303" s="171" t="str">
        <f>IFERROR(VLOOKUP(E302,Списки!$E:$F,2,0)," ")</f>
        <v xml:space="preserve"> </v>
      </c>
      <c r="F303" s="312"/>
      <c r="G303" s="314"/>
      <c r="H303" s="315"/>
      <c r="I303" s="8"/>
      <c r="J303" s="8"/>
      <c r="K303" s="8"/>
      <c r="L303" s="8"/>
      <c r="M303" s="8"/>
      <c r="N303" s="8"/>
      <c r="O303" s="8"/>
      <c r="P303" s="8"/>
      <c r="Q303" s="8"/>
      <c r="R303" s="8"/>
      <c r="S303" s="8"/>
      <c r="T303" s="82"/>
    </row>
    <row r="304" spans="1:20" ht="13.5" customHeight="1" x14ac:dyDescent="0.25">
      <c r="A304" s="307">
        <v>15</v>
      </c>
      <c r="B304" s="307"/>
      <c r="C304" s="170"/>
      <c r="D304" s="309"/>
      <c r="E304" s="170"/>
      <c r="F304" s="311"/>
      <c r="G304" s="313"/>
      <c r="H304" s="315"/>
      <c r="I304" s="8"/>
      <c r="J304" s="8"/>
      <c r="K304" s="8"/>
      <c r="L304" s="8"/>
      <c r="M304" s="8"/>
      <c r="N304" s="8"/>
      <c r="O304" s="8"/>
      <c r="P304" s="8"/>
      <c r="Q304" s="8"/>
      <c r="R304" s="8"/>
      <c r="S304" s="8"/>
      <c r="T304" s="82"/>
    </row>
    <row r="305" spans="1:20" ht="13.5" customHeight="1" x14ac:dyDescent="0.25">
      <c r="A305" s="308"/>
      <c r="B305" s="308"/>
      <c r="C305" s="171" t="str">
        <f>IFERROR(VLOOKUP(C304,Списки!$E:$F,2,0)," ")</f>
        <v xml:space="preserve"> </v>
      </c>
      <c r="D305" s="310"/>
      <c r="E305" s="171" t="str">
        <f>IFERROR(VLOOKUP(E304,Списки!$E:$F,2,0)," ")</f>
        <v xml:space="preserve"> </v>
      </c>
      <c r="F305" s="312"/>
      <c r="G305" s="314"/>
      <c r="H305" s="315"/>
      <c r="I305" s="8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2"/>
    </row>
    <row r="306" spans="1:20" x14ac:dyDescent="0.25">
      <c r="A306" s="36"/>
      <c r="B306" s="37"/>
      <c r="C306" s="173"/>
      <c r="D306" s="173"/>
      <c r="E306" s="174" t="s">
        <v>30</v>
      </c>
      <c r="F306" s="39">
        <v>9.0277777777777776E-2</v>
      </c>
      <c r="G306" s="40" t="s">
        <v>27</v>
      </c>
      <c r="H306" s="206">
        <f>SUM(H276:H305)</f>
        <v>182</v>
      </c>
      <c r="I306" s="8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2"/>
    </row>
    <row r="307" spans="1:20" ht="15.75" x14ac:dyDescent="0.25">
      <c r="A307" s="316">
        <f>DATE(K1,J1,10)</f>
        <v>43840</v>
      </c>
      <c r="B307" s="316"/>
      <c r="C307" s="316"/>
      <c r="D307" s="316"/>
      <c r="E307" s="316"/>
      <c r="F307" s="316"/>
      <c r="G307" s="316"/>
      <c r="H307" s="316"/>
      <c r="I307" s="8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2"/>
    </row>
    <row r="308" spans="1:20" ht="13.5" customHeight="1" x14ac:dyDescent="0.25">
      <c r="A308" s="318"/>
      <c r="B308" s="320" t="s">
        <v>34</v>
      </c>
      <c r="C308" s="205" t="s">
        <v>39</v>
      </c>
      <c r="D308" s="322" t="s">
        <v>36</v>
      </c>
      <c r="E308" s="205" t="s">
        <v>37</v>
      </c>
      <c r="F308" s="320" t="s">
        <v>36</v>
      </c>
      <c r="G308" s="324" t="s">
        <v>35</v>
      </c>
      <c r="H308" s="315" t="s">
        <v>40</v>
      </c>
      <c r="I308" s="8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2"/>
    </row>
    <row r="309" spans="1:20" ht="13.5" customHeight="1" x14ac:dyDescent="0.25">
      <c r="A309" s="319"/>
      <c r="B309" s="321"/>
      <c r="C309" s="204" t="s">
        <v>38</v>
      </c>
      <c r="D309" s="323"/>
      <c r="E309" s="204" t="s">
        <v>38</v>
      </c>
      <c r="F309" s="321"/>
      <c r="G309" s="325"/>
      <c r="H309" s="315"/>
      <c r="I309" s="8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2"/>
    </row>
    <row r="310" spans="1:20" ht="13.5" customHeight="1" x14ac:dyDescent="0.25">
      <c r="A310" s="307">
        <v>1</v>
      </c>
      <c r="B310" s="307" t="s">
        <v>140</v>
      </c>
      <c r="C310" s="222" t="s">
        <v>43</v>
      </c>
      <c r="D310" s="326">
        <v>0.2638888888888889</v>
      </c>
      <c r="E310" s="222" t="s">
        <v>56</v>
      </c>
      <c r="F310" s="326">
        <v>0.27777777777777779</v>
      </c>
      <c r="G310" s="307"/>
      <c r="H310" s="307">
        <v>11</v>
      </c>
      <c r="I310" s="8"/>
      <c r="J310" s="8"/>
      <c r="K310" s="8"/>
      <c r="L310" s="8"/>
      <c r="M310" s="8"/>
      <c r="N310" s="8"/>
      <c r="O310" s="8"/>
      <c r="P310" s="8"/>
      <c r="Q310" s="8"/>
      <c r="R310" s="8"/>
      <c r="S310" s="8"/>
      <c r="T310" s="82"/>
    </row>
    <row r="311" spans="1:20" ht="13.5" customHeight="1" x14ac:dyDescent="0.25">
      <c r="A311" s="308"/>
      <c r="B311" s="308"/>
      <c r="C311" s="223" t="s">
        <v>301</v>
      </c>
      <c r="D311" s="327"/>
      <c r="E311" s="224" t="s">
        <v>299</v>
      </c>
      <c r="F311" s="327"/>
      <c r="G311" s="308"/>
      <c r="H311" s="308"/>
      <c r="I311" s="8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2"/>
    </row>
    <row r="312" spans="1:20" ht="13.5" customHeight="1" x14ac:dyDescent="0.25">
      <c r="A312" s="307">
        <v>2</v>
      </c>
      <c r="B312" s="307"/>
      <c r="C312" s="222" t="s">
        <v>56</v>
      </c>
      <c r="D312" s="326">
        <v>0.27777777777777779</v>
      </c>
      <c r="E312" s="222" t="s">
        <v>58</v>
      </c>
      <c r="F312" s="326">
        <v>0.28472222222222221</v>
      </c>
      <c r="G312" s="307"/>
      <c r="H312" s="307">
        <v>3</v>
      </c>
      <c r="I312" s="8"/>
      <c r="J312" s="8"/>
      <c r="K312" s="8"/>
      <c r="L312" s="8"/>
      <c r="M312" s="8"/>
      <c r="N312" s="8"/>
      <c r="O312" s="8"/>
      <c r="P312" s="8"/>
      <c r="Q312" s="8"/>
      <c r="R312" s="8"/>
      <c r="S312" s="8"/>
      <c r="T312" s="82"/>
    </row>
    <row r="313" spans="1:20" ht="13.5" customHeight="1" x14ac:dyDescent="0.25">
      <c r="A313" s="308"/>
      <c r="B313" s="308"/>
      <c r="C313" s="224" t="s">
        <v>299</v>
      </c>
      <c r="D313" s="327"/>
      <c r="E313" s="223" t="s">
        <v>300</v>
      </c>
      <c r="F313" s="327"/>
      <c r="G313" s="308"/>
      <c r="H313" s="308"/>
      <c r="I313" s="8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2"/>
    </row>
    <row r="314" spans="1:20" ht="13.5" customHeight="1" x14ac:dyDescent="0.25">
      <c r="A314" s="307">
        <v>3</v>
      </c>
      <c r="B314" s="307"/>
      <c r="C314" s="222" t="s">
        <v>58</v>
      </c>
      <c r="D314" s="326">
        <v>0.28472222222222221</v>
      </c>
      <c r="E314" s="222" t="s">
        <v>60</v>
      </c>
      <c r="F314" s="326">
        <v>0.29166666666666669</v>
      </c>
      <c r="G314" s="307"/>
      <c r="H314" s="307">
        <v>3</v>
      </c>
      <c r="I314" s="8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2"/>
    </row>
    <row r="315" spans="1:20" ht="13.5" customHeight="1" x14ac:dyDescent="0.25">
      <c r="A315" s="308"/>
      <c r="B315" s="308"/>
      <c r="C315" s="223" t="s">
        <v>300</v>
      </c>
      <c r="D315" s="327"/>
      <c r="E315" s="224" t="s">
        <v>298</v>
      </c>
      <c r="F315" s="327"/>
      <c r="G315" s="308"/>
      <c r="H315" s="308"/>
      <c r="I315" s="8"/>
      <c r="J315" s="8"/>
      <c r="K315" s="8"/>
      <c r="L315" s="8"/>
      <c r="M315" s="8"/>
      <c r="N315" s="8"/>
      <c r="O315" s="8"/>
      <c r="P315" s="8"/>
      <c r="Q315" s="8"/>
      <c r="R315" s="8"/>
      <c r="S315" s="8"/>
      <c r="T315" s="82"/>
    </row>
    <row r="316" spans="1:20" ht="13.5" customHeight="1" x14ac:dyDescent="0.25">
      <c r="A316" s="307">
        <v>4</v>
      </c>
      <c r="B316" s="307"/>
      <c r="C316" s="222" t="s">
        <v>60</v>
      </c>
      <c r="D316" s="326">
        <v>0.29166666666666669</v>
      </c>
      <c r="E316" s="222" t="s">
        <v>44</v>
      </c>
      <c r="F316" s="326">
        <v>0.30555555555555552</v>
      </c>
      <c r="G316" s="307"/>
      <c r="H316" s="307">
        <v>24</v>
      </c>
      <c r="I316" s="8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2"/>
    </row>
    <row r="317" spans="1:20" ht="13.5" customHeight="1" x14ac:dyDescent="0.25">
      <c r="A317" s="308"/>
      <c r="B317" s="308"/>
      <c r="C317" s="224" t="s">
        <v>298</v>
      </c>
      <c r="D317" s="327"/>
      <c r="E317" s="223" t="s">
        <v>297</v>
      </c>
      <c r="F317" s="327"/>
      <c r="G317" s="308"/>
      <c r="H317" s="308"/>
      <c r="I317" s="8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2"/>
    </row>
    <row r="318" spans="1:20" ht="13.5" customHeight="1" x14ac:dyDescent="0.25">
      <c r="A318" s="307">
        <v>5</v>
      </c>
      <c r="B318" s="307" t="s">
        <v>82</v>
      </c>
      <c r="C318" s="222" t="s">
        <v>44</v>
      </c>
      <c r="D318" s="309">
        <v>0.43055555555555558</v>
      </c>
      <c r="E318" s="225" t="s">
        <v>229</v>
      </c>
      <c r="F318" s="311">
        <v>0.44444444444444442</v>
      </c>
      <c r="G318" s="313" t="s">
        <v>137</v>
      </c>
      <c r="H318" s="315">
        <v>22</v>
      </c>
      <c r="I318" s="8"/>
      <c r="J318" s="8"/>
      <c r="K318" s="8"/>
      <c r="L318" s="8"/>
      <c r="M318" s="8"/>
      <c r="N318" s="8"/>
      <c r="O318" s="8"/>
      <c r="P318" s="8"/>
      <c r="Q318" s="8"/>
      <c r="R318" s="8"/>
      <c r="S318" s="8"/>
      <c r="T318" s="82"/>
    </row>
    <row r="319" spans="1:20" ht="13.5" customHeight="1" x14ac:dyDescent="0.25">
      <c r="A319" s="308"/>
      <c r="B319" s="308"/>
      <c r="C319" s="171" t="str">
        <f>IFERROR(VLOOKUP(C318,Списки!$E:$F,2,0)," ")</f>
        <v>LEVASHOVSKOE HWY 20</v>
      </c>
      <c r="D319" s="310"/>
      <c r="E319" s="171" t="str">
        <f>IFERROR(VLOOKUP(E318,Списки!$E:$F,2,0)," ")</f>
        <v>LEYT SHMIDTA EMB 9</v>
      </c>
      <c r="F319" s="312"/>
      <c r="G319" s="314"/>
      <c r="H319" s="315"/>
      <c r="I319" s="8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2"/>
    </row>
    <row r="320" spans="1:20" ht="13.5" customHeight="1" x14ac:dyDescent="0.25">
      <c r="A320" s="307">
        <v>6</v>
      </c>
      <c r="B320" s="307" t="s">
        <v>105</v>
      </c>
      <c r="C320" s="225" t="s">
        <v>229</v>
      </c>
      <c r="D320" s="309">
        <v>0.4513888888888889</v>
      </c>
      <c r="E320" s="226" t="s">
        <v>364</v>
      </c>
      <c r="F320" s="311">
        <v>0.46527777777777773</v>
      </c>
      <c r="G320" s="313" t="s">
        <v>137</v>
      </c>
      <c r="H320" s="315">
        <v>7</v>
      </c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2"/>
    </row>
    <row r="321" spans="1:20" ht="13.5" customHeight="1" x14ac:dyDescent="0.25">
      <c r="A321" s="308"/>
      <c r="B321" s="308"/>
      <c r="C321" s="171" t="str">
        <f>IFERROR(VLOOKUP(C320,Списки!$E:$F,2,0)," ")</f>
        <v>LEYT SHMIDTA EMB 9</v>
      </c>
      <c r="D321" s="310"/>
      <c r="E321" s="172" t="str">
        <f>IFERROR(VLOOKUP(E320,Списки!$E:$F,2,0)," ")</f>
        <v>KARPOVKA RIVER EMB 5/16</v>
      </c>
      <c r="F321" s="312"/>
      <c r="G321" s="314"/>
      <c r="H321" s="315"/>
      <c r="I321" s="8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2"/>
    </row>
    <row r="322" spans="1:20" ht="13.5" customHeight="1" x14ac:dyDescent="0.25">
      <c r="A322" s="307">
        <v>7</v>
      </c>
      <c r="B322" s="307" t="s">
        <v>194</v>
      </c>
      <c r="C322" s="226" t="s">
        <v>364</v>
      </c>
      <c r="D322" s="309">
        <v>0.47222222222222227</v>
      </c>
      <c r="E322" s="225" t="s">
        <v>218</v>
      </c>
      <c r="F322" s="311">
        <v>0.4861111111111111</v>
      </c>
      <c r="G322" s="313" t="s">
        <v>372</v>
      </c>
      <c r="H322" s="315">
        <v>6</v>
      </c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2"/>
    </row>
    <row r="323" spans="1:20" ht="13.5" customHeight="1" x14ac:dyDescent="0.25">
      <c r="A323" s="308"/>
      <c r="B323" s="308"/>
      <c r="C323" s="171" t="str">
        <f>IFERROR(VLOOKUP(C322,Списки!$E:$F,2,0)," ")</f>
        <v>KARPOVKA RIVER EMB 5/16</v>
      </c>
      <c r="D323" s="310"/>
      <c r="E323" s="171" t="str">
        <f>IFERROR(VLOOKUP(E322,Списки!$E:$F,2,0)," ")</f>
        <v>NEKRASOVA ST 32</v>
      </c>
      <c r="F323" s="312"/>
      <c r="G323" s="314"/>
      <c r="H323" s="315"/>
      <c r="I323" s="8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2"/>
    </row>
    <row r="324" spans="1:20" ht="13.5" customHeight="1" x14ac:dyDescent="0.25">
      <c r="A324" s="307">
        <v>8</v>
      </c>
      <c r="B324" s="307" t="s">
        <v>83</v>
      </c>
      <c r="C324" s="225" t="s">
        <v>218</v>
      </c>
      <c r="D324" s="309">
        <v>0.52083333333333337</v>
      </c>
      <c r="E324" s="225" t="s">
        <v>74</v>
      </c>
      <c r="F324" s="311">
        <v>0.52777777777777779</v>
      </c>
      <c r="G324" s="313" t="s">
        <v>137</v>
      </c>
      <c r="H324" s="315">
        <v>3</v>
      </c>
      <c r="I324" s="8"/>
      <c r="J324" s="8"/>
      <c r="K324" s="8"/>
      <c r="L324" s="8"/>
      <c r="M324" s="8"/>
      <c r="N324" s="8"/>
      <c r="O324" s="8"/>
      <c r="P324" s="8"/>
      <c r="Q324" s="8"/>
      <c r="R324" s="8"/>
      <c r="S324" s="8"/>
      <c r="T324" s="82"/>
    </row>
    <row r="325" spans="1:20" ht="13.5" customHeight="1" x14ac:dyDescent="0.25">
      <c r="A325" s="308"/>
      <c r="B325" s="308"/>
      <c r="C325" s="179" t="str">
        <f>IFERROR(VLOOKUP(C324,Списки!$E:$F,2,0)," ")</f>
        <v>NEKRASOVA ST 32</v>
      </c>
      <c r="D325" s="310"/>
      <c r="E325" s="171" t="str">
        <f>IFERROR(VLOOKUP(E324,Списки!$E:$F,2,0)," ")</f>
        <v>ITALYANSKAYA ST 5</v>
      </c>
      <c r="F325" s="312"/>
      <c r="G325" s="314"/>
      <c r="H325" s="315"/>
      <c r="I325" s="8"/>
      <c r="J325" s="8"/>
      <c r="K325" s="8"/>
      <c r="L325" s="8"/>
      <c r="M325" s="8"/>
      <c r="N325" s="8"/>
      <c r="O325" s="8"/>
      <c r="P325" s="8"/>
      <c r="Q325" s="8"/>
      <c r="R325" s="8"/>
      <c r="S325" s="8"/>
      <c r="T325" s="82"/>
    </row>
    <row r="326" spans="1:20" ht="13.5" customHeight="1" x14ac:dyDescent="0.25">
      <c r="A326" s="307">
        <v>9</v>
      </c>
      <c r="B326" s="307" t="s">
        <v>105</v>
      </c>
      <c r="C326" s="225" t="s">
        <v>74</v>
      </c>
      <c r="D326" s="309">
        <v>0.54166666666666663</v>
      </c>
      <c r="E326" s="225" t="s">
        <v>231</v>
      </c>
      <c r="F326" s="311">
        <v>0.5625</v>
      </c>
      <c r="G326" s="313" t="s">
        <v>137</v>
      </c>
      <c r="H326" s="315">
        <v>6</v>
      </c>
      <c r="I326" s="8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2"/>
    </row>
    <row r="327" spans="1:20" ht="13.5" customHeight="1" x14ac:dyDescent="0.25">
      <c r="A327" s="308"/>
      <c r="B327" s="308"/>
      <c r="C327" s="179" t="str">
        <f>IFERROR(VLOOKUP(C326,Списки!$E:$F,2,0)," ")</f>
        <v>ITALYANSKAYA ST 5</v>
      </c>
      <c r="D327" s="310"/>
      <c r="E327" s="171" t="str">
        <f>IFERROR(VLOOKUP(E326,Списки!$E:$F,2,0)," ")</f>
        <v>OBVOD KANALA EMB 24D</v>
      </c>
      <c r="F327" s="312"/>
      <c r="G327" s="314"/>
      <c r="H327" s="315"/>
      <c r="I327" s="8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2"/>
    </row>
    <row r="328" spans="1:20" ht="13.5" customHeight="1" x14ac:dyDescent="0.25">
      <c r="A328" s="307">
        <v>10</v>
      </c>
      <c r="B328" s="307"/>
      <c r="C328" s="225" t="s">
        <v>231</v>
      </c>
      <c r="D328" s="309">
        <v>0.57638888888888895</v>
      </c>
      <c r="E328" s="225" t="s">
        <v>52</v>
      </c>
      <c r="F328" s="311">
        <v>0.59722222222222221</v>
      </c>
      <c r="G328" s="313"/>
      <c r="H328" s="315">
        <v>38</v>
      </c>
      <c r="I328" s="8"/>
      <c r="J328" s="8"/>
      <c r="K328" s="8"/>
      <c r="L328" s="8"/>
      <c r="M328" s="8"/>
      <c r="N328" s="8"/>
      <c r="O328" s="8"/>
      <c r="P328" s="8"/>
      <c r="Q328" s="8"/>
      <c r="R328" s="8"/>
      <c r="S328" s="8"/>
      <c r="T328" s="82"/>
    </row>
    <row r="329" spans="1:20" ht="13.5" customHeight="1" x14ac:dyDescent="0.25">
      <c r="A329" s="308"/>
      <c r="B329" s="308"/>
      <c r="C329" s="171" t="str">
        <f>IFERROR(VLOOKUP(C328,Списки!$E:$F,2,0)," ")</f>
        <v>OBVOD KANALA EMB 24D</v>
      </c>
      <c r="D329" s="310"/>
      <c r="E329" s="171" t="str">
        <f>IFERROR(VLOOKUP(E328,Списки!$E:$F,2,0)," ")</f>
        <v>LEVASHOVSKOE HWY 6</v>
      </c>
      <c r="F329" s="312"/>
      <c r="G329" s="314"/>
      <c r="H329" s="315"/>
      <c r="I329" s="8"/>
      <c r="J329" s="8"/>
      <c r="K329" s="8"/>
      <c r="L329" s="8"/>
      <c r="M329" s="8"/>
      <c r="N329" s="8"/>
      <c r="O329" s="8"/>
      <c r="P329" s="8"/>
      <c r="Q329" s="8"/>
      <c r="R329" s="8"/>
      <c r="S329" s="8"/>
      <c r="T329" s="82"/>
    </row>
    <row r="330" spans="1:20" ht="13.5" customHeight="1" x14ac:dyDescent="0.25">
      <c r="A330" s="307">
        <v>11</v>
      </c>
      <c r="B330" s="307"/>
      <c r="C330" s="225" t="s">
        <v>52</v>
      </c>
      <c r="D330" s="309">
        <v>0.63194444444444442</v>
      </c>
      <c r="E330" s="225" t="s">
        <v>44</v>
      </c>
      <c r="F330" s="311">
        <v>0.64583333333333337</v>
      </c>
      <c r="G330" s="313"/>
      <c r="H330" s="315">
        <v>11</v>
      </c>
      <c r="I330" s="8"/>
      <c r="J330" s="8"/>
      <c r="K330" s="8"/>
      <c r="L330" s="8"/>
      <c r="M330" s="8"/>
      <c r="N330" s="8"/>
      <c r="O330" s="8"/>
      <c r="P330" s="8"/>
      <c r="Q330" s="8"/>
      <c r="R330" s="8"/>
      <c r="S330" s="8"/>
      <c r="T330" s="82"/>
    </row>
    <row r="331" spans="1:20" ht="13.5" customHeight="1" x14ac:dyDescent="0.25">
      <c r="A331" s="308"/>
      <c r="B331" s="308"/>
      <c r="C331" s="171" t="str">
        <f>IFERROR(VLOOKUP(C330,Списки!$E:$F,2,0)," ")</f>
        <v>LEVASHOVSKOE HWY 6</v>
      </c>
      <c r="D331" s="310"/>
      <c r="E331" s="171" t="str">
        <f>IFERROR(VLOOKUP(E330,Списки!$E:$F,2,0)," ")</f>
        <v>LEVASHOVSKOE HWY 20</v>
      </c>
      <c r="F331" s="312"/>
      <c r="G331" s="314"/>
      <c r="H331" s="315"/>
      <c r="I331" s="8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2"/>
    </row>
    <row r="332" spans="1:20" ht="13.5" customHeight="1" x14ac:dyDescent="0.25">
      <c r="A332" s="307">
        <v>12</v>
      </c>
      <c r="B332" s="307" t="s">
        <v>140</v>
      </c>
      <c r="C332" s="225" t="s">
        <v>44</v>
      </c>
      <c r="D332" s="309">
        <v>0.71527777777777779</v>
      </c>
      <c r="E332" s="225" t="s">
        <v>149</v>
      </c>
      <c r="F332" s="311">
        <v>0.74305555555555547</v>
      </c>
      <c r="G332" s="313" t="s">
        <v>377</v>
      </c>
      <c r="H332" s="315">
        <v>43</v>
      </c>
      <c r="I332" s="8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2"/>
    </row>
    <row r="333" spans="1:20" ht="13.5" customHeight="1" x14ac:dyDescent="0.25">
      <c r="A333" s="308"/>
      <c r="B333" s="308"/>
      <c r="C333" s="171" t="str">
        <f>IFERROR(VLOOKUP(C332,Списки!$E:$F,2,0)," ")</f>
        <v>LEVASHOVSKOE HWY 20</v>
      </c>
      <c r="D333" s="310"/>
      <c r="E333" s="171" t="str">
        <f>IFERROR(VLOOKUP(E332,Списки!$E:$F,2,0)," ")</f>
        <v>PULKOVO</v>
      </c>
      <c r="F333" s="312"/>
      <c r="G333" s="314"/>
      <c r="H333" s="315"/>
      <c r="I333" s="8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2"/>
    </row>
    <row r="334" spans="1:20" ht="13.5" customHeight="1" x14ac:dyDescent="0.25">
      <c r="A334" s="307">
        <v>13</v>
      </c>
      <c r="B334" s="307"/>
      <c r="C334" s="225" t="s">
        <v>149</v>
      </c>
      <c r="D334" s="309">
        <v>0.75</v>
      </c>
      <c r="E334" s="229" t="s">
        <v>376</v>
      </c>
      <c r="F334" s="311">
        <v>0.77777777777777779</v>
      </c>
      <c r="G334" s="313"/>
      <c r="H334" s="315">
        <v>37</v>
      </c>
      <c r="I334" s="8"/>
      <c r="J334" s="8"/>
      <c r="K334" s="8"/>
      <c r="L334" s="8"/>
      <c r="M334" s="8"/>
      <c r="N334" s="8"/>
      <c r="O334" s="8"/>
      <c r="P334" s="8"/>
      <c r="Q334" s="8"/>
      <c r="R334" s="8"/>
      <c r="S334" s="8"/>
      <c r="T334" s="82"/>
    </row>
    <row r="335" spans="1:20" ht="13.5" customHeight="1" x14ac:dyDescent="0.25">
      <c r="A335" s="308"/>
      <c r="B335" s="308"/>
      <c r="C335" s="171" t="str">
        <f>IFERROR(VLOOKUP(C334,Списки!$E:$F,2,0)," ")</f>
        <v>PULKOVO</v>
      </c>
      <c r="D335" s="310"/>
      <c r="E335" s="171" t="str">
        <f>IFERROR(VLOOKUP(E334,Списки!$E:$F,2,0)," ")</f>
        <v>PRIMORSKIY AVE 78/1</v>
      </c>
      <c r="F335" s="312"/>
      <c r="G335" s="314"/>
      <c r="H335" s="315"/>
      <c r="I335" s="8"/>
      <c r="J335" s="8"/>
      <c r="K335" s="8"/>
      <c r="L335" s="8"/>
      <c r="M335" s="8"/>
      <c r="N335" s="8"/>
      <c r="O335" s="8"/>
      <c r="P335" s="8"/>
      <c r="Q335" s="8"/>
      <c r="R335" s="8"/>
      <c r="S335" s="8"/>
      <c r="T335" s="82"/>
    </row>
    <row r="336" spans="1:20" ht="13.5" customHeight="1" x14ac:dyDescent="0.25">
      <c r="A336" s="307">
        <v>14</v>
      </c>
      <c r="B336" s="307"/>
      <c r="C336" s="229" t="s">
        <v>376</v>
      </c>
      <c r="D336" s="309">
        <v>0.78472222222222221</v>
      </c>
      <c r="E336" s="225" t="s">
        <v>373</v>
      </c>
      <c r="F336" s="311">
        <v>0.80555555555555547</v>
      </c>
      <c r="G336" s="313"/>
      <c r="H336" s="315">
        <v>8</v>
      </c>
      <c r="I336" s="8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2"/>
    </row>
    <row r="337" spans="1:20" ht="13.5" customHeight="1" x14ac:dyDescent="0.25">
      <c r="A337" s="308"/>
      <c r="B337" s="308"/>
      <c r="C337" s="171" t="str">
        <f>IFERROR(VLOOKUP(C336,Списки!$E:$F,2,0)," ")</f>
        <v>PRIMORSKIY AVE 78/1</v>
      </c>
      <c r="D337" s="310"/>
      <c r="E337" s="171" t="str">
        <f>IFERROR(VLOOKUP(E336,Списки!$E:$F,2,0)," ")</f>
        <v>ISPYTATELEY AVE 37</v>
      </c>
      <c r="F337" s="312"/>
      <c r="G337" s="314"/>
      <c r="H337" s="315"/>
      <c r="I337" s="8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2"/>
    </row>
    <row r="338" spans="1:20" ht="13.5" customHeight="1" x14ac:dyDescent="0.25">
      <c r="A338" s="307">
        <v>15</v>
      </c>
      <c r="B338" s="307"/>
      <c r="C338" s="225" t="s">
        <v>373</v>
      </c>
      <c r="D338" s="309">
        <v>0.80555555555555547</v>
      </c>
      <c r="E338" s="229" t="s">
        <v>45</v>
      </c>
      <c r="F338" s="311">
        <v>0.82291666666666663</v>
      </c>
      <c r="G338" s="313"/>
      <c r="H338" s="315">
        <v>7</v>
      </c>
      <c r="I338" s="8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2"/>
    </row>
    <row r="339" spans="1:20" ht="13.5" customHeight="1" x14ac:dyDescent="0.25">
      <c r="A339" s="308"/>
      <c r="B339" s="308"/>
      <c r="C339" s="171" t="str">
        <f>IFERROR(VLOOKUP(C338,Списки!$E:$F,2,0)," ")</f>
        <v>ISPYTATELEY AVE 37</v>
      </c>
      <c r="D339" s="310"/>
      <c r="E339" s="171" t="str">
        <f>IFERROR(VLOOKUP(E338,Списки!$E:$F,2,0)," ")</f>
        <v>SAVUSHKINA ST 128</v>
      </c>
      <c r="F339" s="312"/>
      <c r="G339" s="314"/>
      <c r="H339" s="315"/>
      <c r="I339" s="8"/>
      <c r="J339" s="8"/>
      <c r="K339" s="8"/>
      <c r="L339" s="8"/>
      <c r="M339" s="8"/>
      <c r="N339" s="8"/>
      <c r="O339" s="8"/>
      <c r="P339" s="8"/>
      <c r="Q339" s="8"/>
      <c r="R339" s="8"/>
      <c r="S339" s="8"/>
      <c r="T339" s="82"/>
    </row>
    <row r="340" spans="1:20" x14ac:dyDescent="0.25">
      <c r="A340" s="36"/>
      <c r="B340" s="37"/>
      <c r="C340" s="173"/>
      <c r="D340" s="173"/>
      <c r="E340" s="174" t="s">
        <v>30</v>
      </c>
      <c r="F340" s="39">
        <f>IFERROR(SUM(IFERROR(IF((LOOKUP(9E+307,F310:F339))&gt;$M$39,(LOOKUP(9E+307,F310:F339))-$M$39,IF((LOOKUP(9E+307,F310:F339))&lt;0.166666667,0+(LOOKUP(9E+307,F310:F339))+1-$M$39,0)),0),(IF(AND(IF(D310,$M$38-D310,0)&gt;0,F310,F310&gt;D310),$M$38-D310,IF(AND(D310,F310,D310&gt;F310),"error",0)))),"ОШИБКА")</f>
        <v>0.16319444444444436</v>
      </c>
      <c r="G340" s="40" t="s">
        <v>27</v>
      </c>
      <c r="H340" s="206">
        <f>SUM(H310:H339)</f>
        <v>229</v>
      </c>
      <c r="I340" s="8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2"/>
    </row>
    <row r="341" spans="1:20" ht="15.75" x14ac:dyDescent="0.25">
      <c r="A341" s="316">
        <f>DATE(K1,J1,11)</f>
        <v>43841</v>
      </c>
      <c r="B341" s="316"/>
      <c r="C341" s="316"/>
      <c r="D341" s="316"/>
      <c r="E341" s="316"/>
      <c r="F341" s="316"/>
      <c r="G341" s="316"/>
      <c r="H341" s="316"/>
      <c r="I341" s="8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2"/>
    </row>
    <row r="342" spans="1:20" ht="13.5" customHeight="1" x14ac:dyDescent="0.25">
      <c r="A342" s="318"/>
      <c r="B342" s="320" t="s">
        <v>34</v>
      </c>
      <c r="C342" s="205" t="s">
        <v>39</v>
      </c>
      <c r="D342" s="322" t="s">
        <v>36</v>
      </c>
      <c r="E342" s="205" t="s">
        <v>37</v>
      </c>
      <c r="F342" s="320" t="s">
        <v>36</v>
      </c>
      <c r="G342" s="324" t="s">
        <v>35</v>
      </c>
      <c r="H342" s="315" t="s">
        <v>40</v>
      </c>
      <c r="I342" s="8"/>
      <c r="J342" s="8"/>
      <c r="K342" s="8"/>
      <c r="L342" s="8"/>
      <c r="M342" s="8"/>
      <c r="N342" s="8"/>
      <c r="O342" s="8"/>
      <c r="P342" s="8"/>
      <c r="Q342" s="8"/>
      <c r="R342" s="8"/>
      <c r="S342" s="8"/>
      <c r="T342" s="82"/>
    </row>
    <row r="343" spans="1:20" ht="13.5" customHeight="1" x14ac:dyDescent="0.25">
      <c r="A343" s="319"/>
      <c r="B343" s="321"/>
      <c r="C343" s="204" t="s">
        <v>38</v>
      </c>
      <c r="D343" s="323"/>
      <c r="E343" s="204" t="s">
        <v>38</v>
      </c>
      <c r="F343" s="321"/>
      <c r="G343" s="325"/>
      <c r="H343" s="315"/>
      <c r="I343" s="8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2"/>
    </row>
    <row r="344" spans="1:20" ht="13.5" customHeight="1" x14ac:dyDescent="0.25">
      <c r="A344" s="307">
        <v>1</v>
      </c>
      <c r="B344" s="307"/>
      <c r="C344" s="170" t="s">
        <v>43</v>
      </c>
      <c r="D344" s="309"/>
      <c r="E344" s="170" t="s">
        <v>44</v>
      </c>
      <c r="F344" s="311"/>
      <c r="G344" s="313"/>
      <c r="H344" s="315"/>
      <c r="I344" s="8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2"/>
    </row>
    <row r="345" spans="1:20" ht="13.5" customHeight="1" x14ac:dyDescent="0.25">
      <c r="A345" s="308"/>
      <c r="B345" s="308"/>
      <c r="C345" s="171" t="str">
        <f>IFERROR(VLOOKUP(C344,Списки!$E:$F,2,0)," ")</f>
        <v>SAVUSHKINA ST 128</v>
      </c>
      <c r="D345" s="310"/>
      <c r="E345" s="171" t="str">
        <f>IFERROR(VLOOKUP(E344,Списки!$E:$F,2,0)," ")</f>
        <v>LEVASHOVSKOE HWY 20</v>
      </c>
      <c r="F345" s="312"/>
      <c r="G345" s="314"/>
      <c r="H345" s="315"/>
      <c r="I345" s="8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2"/>
    </row>
    <row r="346" spans="1:20" ht="13.5" customHeight="1" x14ac:dyDescent="0.25">
      <c r="A346" s="307">
        <v>2</v>
      </c>
      <c r="B346" s="307"/>
      <c r="C346" s="170" t="s">
        <v>44</v>
      </c>
      <c r="D346" s="309"/>
      <c r="E346" s="170"/>
      <c r="F346" s="311"/>
      <c r="G346" s="313"/>
      <c r="H346" s="315"/>
      <c r="I346" s="8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2"/>
    </row>
    <row r="347" spans="1:20" ht="13.5" customHeight="1" x14ac:dyDescent="0.25">
      <c r="A347" s="308"/>
      <c r="B347" s="308"/>
      <c r="C347" s="171" t="str">
        <f>IFERROR(VLOOKUP(C346,Списки!$E:$F,2,0)," ")</f>
        <v>LEVASHOVSKOE HWY 20</v>
      </c>
      <c r="D347" s="310"/>
      <c r="E347" s="171" t="str">
        <f>IFERROR(VLOOKUP(E346,Списки!$E:$F,2,0)," ")</f>
        <v xml:space="preserve"> </v>
      </c>
      <c r="F347" s="312"/>
      <c r="G347" s="314"/>
      <c r="H347" s="315"/>
      <c r="I347" s="8"/>
      <c r="J347" s="8"/>
      <c r="K347" s="8"/>
      <c r="L347" s="8"/>
      <c r="M347" s="8"/>
      <c r="N347" s="8"/>
      <c r="O347" s="8"/>
      <c r="P347" s="8"/>
      <c r="Q347" s="8"/>
      <c r="R347" s="8"/>
      <c r="S347" s="8"/>
      <c r="T347" s="82"/>
    </row>
    <row r="348" spans="1:20" ht="13.5" customHeight="1" x14ac:dyDescent="0.25">
      <c r="A348" s="307">
        <v>3</v>
      </c>
      <c r="B348" s="307"/>
      <c r="C348" s="170"/>
      <c r="D348" s="309"/>
      <c r="E348" s="170"/>
      <c r="F348" s="311"/>
      <c r="G348" s="313"/>
      <c r="H348" s="315"/>
      <c r="I348" s="8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2"/>
    </row>
    <row r="349" spans="1:20" ht="13.5" customHeight="1" x14ac:dyDescent="0.25">
      <c r="A349" s="308"/>
      <c r="B349" s="308"/>
      <c r="C349" s="171" t="str">
        <f>IFERROR(VLOOKUP(C348,Списки!$E:$F,2,0)," ")</f>
        <v xml:space="preserve"> </v>
      </c>
      <c r="D349" s="310"/>
      <c r="E349" s="171" t="str">
        <f>IFERROR(VLOOKUP(E348,Списки!$E:$F,2,0)," ")</f>
        <v xml:space="preserve"> </v>
      </c>
      <c r="F349" s="312"/>
      <c r="G349" s="314"/>
      <c r="H349" s="315"/>
      <c r="I349" s="8"/>
      <c r="J349" s="8"/>
      <c r="K349" s="8"/>
      <c r="L349" s="8"/>
      <c r="M349" s="8"/>
      <c r="N349" s="8"/>
      <c r="O349" s="8"/>
      <c r="P349" s="8"/>
      <c r="Q349" s="8"/>
      <c r="R349" s="8"/>
      <c r="S349" s="8"/>
      <c r="T349" s="82"/>
    </row>
    <row r="350" spans="1:20" ht="13.5" customHeight="1" x14ac:dyDescent="0.25">
      <c r="A350" s="307">
        <v>4</v>
      </c>
      <c r="B350" s="307"/>
      <c r="C350" s="170"/>
      <c r="D350" s="309"/>
      <c r="E350" s="170"/>
      <c r="F350" s="311"/>
      <c r="G350" s="313"/>
      <c r="H350" s="315"/>
      <c r="I350" s="8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2"/>
    </row>
    <row r="351" spans="1:20" ht="13.5" customHeight="1" x14ac:dyDescent="0.25">
      <c r="A351" s="308"/>
      <c r="B351" s="308"/>
      <c r="C351" s="171" t="str">
        <f>IFERROR(VLOOKUP(C350,Списки!$E:$F,2,0)," ")</f>
        <v xml:space="preserve"> </v>
      </c>
      <c r="D351" s="310"/>
      <c r="E351" s="171" t="str">
        <f>IFERROR(VLOOKUP(E350,Списки!$E:$F,2,0)," ")</f>
        <v xml:space="preserve"> </v>
      </c>
      <c r="F351" s="312"/>
      <c r="G351" s="314"/>
      <c r="H351" s="315"/>
      <c r="I351" s="8"/>
      <c r="J351" s="8"/>
      <c r="K351" s="8"/>
      <c r="L351" s="8"/>
      <c r="M351" s="8"/>
      <c r="N351" s="8"/>
      <c r="O351" s="8"/>
      <c r="P351" s="8"/>
      <c r="Q351" s="8"/>
      <c r="R351" s="8"/>
      <c r="S351" s="8"/>
      <c r="T351" s="82"/>
    </row>
    <row r="352" spans="1:20" ht="13.5" customHeight="1" x14ac:dyDescent="0.25">
      <c r="A352" s="307">
        <v>5</v>
      </c>
      <c r="B352" s="307"/>
      <c r="C352" s="170"/>
      <c r="D352" s="309"/>
      <c r="E352" s="172"/>
      <c r="F352" s="311"/>
      <c r="G352" s="313"/>
      <c r="H352" s="315"/>
      <c r="I352" s="8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2"/>
    </row>
    <row r="353" spans="1:20" ht="13.5" customHeight="1" x14ac:dyDescent="0.25">
      <c r="A353" s="308"/>
      <c r="B353" s="308"/>
      <c r="C353" s="171" t="str">
        <f>IFERROR(VLOOKUP(C352,Списки!$E:$F,2,0)," ")</f>
        <v xml:space="preserve"> </v>
      </c>
      <c r="D353" s="310"/>
      <c r="E353" s="172" t="str">
        <f>IFERROR(VLOOKUP(E352,Списки!$E:$F,2,0)," ")</f>
        <v xml:space="preserve"> </v>
      </c>
      <c r="F353" s="312"/>
      <c r="G353" s="314"/>
      <c r="H353" s="315"/>
      <c r="I353" s="8"/>
      <c r="J353" s="8"/>
      <c r="K353" s="8"/>
      <c r="L353" s="8"/>
      <c r="M353" s="8"/>
      <c r="N353" s="8"/>
      <c r="O353" s="8"/>
      <c r="P353" s="8"/>
      <c r="Q353" s="8"/>
      <c r="R353" s="8"/>
      <c r="S353" s="8"/>
      <c r="T353" s="82"/>
    </row>
    <row r="354" spans="1:20" ht="13.5" customHeight="1" x14ac:dyDescent="0.25">
      <c r="A354" s="307">
        <v>6</v>
      </c>
      <c r="B354" s="307"/>
      <c r="C354" s="170"/>
      <c r="D354" s="309"/>
      <c r="E354" s="170"/>
      <c r="F354" s="311"/>
      <c r="G354" s="313"/>
      <c r="H354" s="315"/>
      <c r="I354" s="8"/>
      <c r="J354" s="8"/>
      <c r="K354" s="8"/>
      <c r="L354" s="8"/>
      <c r="M354" s="8"/>
      <c r="N354" s="8"/>
      <c r="O354" s="8"/>
      <c r="P354" s="8"/>
      <c r="Q354" s="8"/>
      <c r="R354" s="8"/>
      <c r="S354" s="8"/>
      <c r="T354" s="82"/>
    </row>
    <row r="355" spans="1:20" ht="13.5" customHeight="1" x14ac:dyDescent="0.25">
      <c r="A355" s="308"/>
      <c r="B355" s="308"/>
      <c r="C355" s="171" t="str">
        <f>IFERROR(VLOOKUP(C354,Списки!$E:$F,2,0)," ")</f>
        <v xml:space="preserve"> </v>
      </c>
      <c r="D355" s="310"/>
      <c r="E355" s="179" t="str">
        <f>IFERROR(VLOOKUP(E354,Списки!$E:$F,2,0)," ")</f>
        <v xml:space="preserve"> </v>
      </c>
      <c r="F355" s="312"/>
      <c r="G355" s="314"/>
      <c r="H355" s="315"/>
      <c r="I355" s="8"/>
      <c r="J355" s="8"/>
      <c r="K355" s="8"/>
      <c r="L355" s="8"/>
      <c r="M355" s="8"/>
      <c r="N355" s="8"/>
      <c r="O355" s="8"/>
      <c r="P355" s="8"/>
      <c r="Q355" s="8"/>
      <c r="R355" s="8"/>
      <c r="S355" s="8"/>
      <c r="T355" s="82"/>
    </row>
    <row r="356" spans="1:20" ht="13.5" customHeight="1" x14ac:dyDescent="0.25">
      <c r="A356" s="307">
        <v>7</v>
      </c>
      <c r="B356" s="307"/>
      <c r="C356" s="170"/>
      <c r="D356" s="309"/>
      <c r="E356" s="170"/>
      <c r="F356" s="311"/>
      <c r="G356" s="313"/>
      <c r="H356" s="315"/>
      <c r="I356" s="8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2"/>
    </row>
    <row r="357" spans="1:20" ht="13.5" customHeight="1" x14ac:dyDescent="0.25">
      <c r="A357" s="308"/>
      <c r="B357" s="308"/>
      <c r="C357" s="179" t="str">
        <f>IFERROR(VLOOKUP(C356,Списки!$E:$F,2,0)," ")</f>
        <v xml:space="preserve"> </v>
      </c>
      <c r="D357" s="310"/>
      <c r="E357" s="171" t="str">
        <f>IFERROR(VLOOKUP(E356,Списки!$E:$F,2,0)," ")</f>
        <v xml:space="preserve"> </v>
      </c>
      <c r="F357" s="312"/>
      <c r="G357" s="314"/>
      <c r="H357" s="315"/>
      <c r="I357" s="8"/>
      <c r="J357" s="8"/>
      <c r="K357" s="8"/>
      <c r="L357" s="8"/>
      <c r="M357" s="8"/>
      <c r="N357" s="8"/>
      <c r="O357" s="8"/>
      <c r="P357" s="8"/>
      <c r="Q357" s="8"/>
      <c r="R357" s="8"/>
      <c r="S357" s="8"/>
      <c r="T357" s="82"/>
    </row>
    <row r="358" spans="1:20" ht="13.5" customHeight="1" x14ac:dyDescent="0.25">
      <c r="A358" s="307">
        <v>8</v>
      </c>
      <c r="B358" s="307"/>
      <c r="C358" s="170"/>
      <c r="D358" s="309"/>
      <c r="E358" s="170"/>
      <c r="F358" s="311"/>
      <c r="G358" s="313"/>
      <c r="H358" s="315"/>
      <c r="I358" s="8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2"/>
    </row>
    <row r="359" spans="1:20" ht="13.5" customHeight="1" x14ac:dyDescent="0.25">
      <c r="A359" s="308"/>
      <c r="B359" s="308"/>
      <c r="C359" s="179" t="str">
        <f>IFERROR(VLOOKUP(C358,Списки!$E:$F,2,0)," ")</f>
        <v xml:space="preserve"> </v>
      </c>
      <c r="D359" s="310"/>
      <c r="E359" s="171" t="str">
        <f>IFERROR(VLOOKUP(E358,Списки!$E:$F,2,0)," ")</f>
        <v xml:space="preserve"> </v>
      </c>
      <c r="F359" s="312"/>
      <c r="G359" s="314"/>
      <c r="H359" s="315"/>
      <c r="I359" s="8"/>
      <c r="J359" s="8"/>
      <c r="K359" s="8"/>
      <c r="L359" s="8"/>
      <c r="M359" s="8"/>
      <c r="N359" s="8"/>
      <c r="O359" s="8"/>
      <c r="P359" s="8"/>
      <c r="Q359" s="8"/>
      <c r="R359" s="8"/>
      <c r="S359" s="8"/>
      <c r="T359" s="82"/>
    </row>
    <row r="360" spans="1:20" ht="13.5" customHeight="1" x14ac:dyDescent="0.25">
      <c r="A360" s="307">
        <v>9</v>
      </c>
      <c r="B360" s="307"/>
      <c r="C360" s="170"/>
      <c r="D360" s="309"/>
      <c r="E360" s="170"/>
      <c r="F360" s="311"/>
      <c r="G360" s="313"/>
      <c r="H360" s="315"/>
      <c r="I360" s="8"/>
      <c r="J360" s="8"/>
      <c r="K360" s="8"/>
      <c r="L360" s="8"/>
      <c r="M360" s="8"/>
      <c r="N360" s="8"/>
      <c r="O360" s="8"/>
      <c r="P360" s="8"/>
      <c r="Q360" s="8"/>
      <c r="R360" s="8"/>
      <c r="S360" s="8"/>
      <c r="T360" s="82"/>
    </row>
    <row r="361" spans="1:20" ht="13.5" customHeight="1" x14ac:dyDescent="0.25">
      <c r="A361" s="308"/>
      <c r="B361" s="308"/>
      <c r="C361" s="171" t="str">
        <f>IFERROR(VLOOKUP(C360,Списки!$E:$F,2,0)," ")</f>
        <v xml:space="preserve"> </v>
      </c>
      <c r="D361" s="310"/>
      <c r="E361" s="171" t="str">
        <f>IFERROR(VLOOKUP(E360,Списки!$E:$F,2,0)," ")</f>
        <v xml:space="preserve"> </v>
      </c>
      <c r="F361" s="312"/>
      <c r="G361" s="314"/>
      <c r="H361" s="315"/>
      <c r="I361" s="8"/>
      <c r="J361" s="8"/>
      <c r="K361" s="8"/>
      <c r="L361" s="8"/>
      <c r="M361" s="8"/>
      <c r="N361" s="8"/>
      <c r="O361" s="8"/>
      <c r="P361" s="8"/>
      <c r="Q361" s="8"/>
      <c r="R361" s="8"/>
      <c r="S361" s="8"/>
      <c r="T361" s="82"/>
    </row>
    <row r="362" spans="1:20" ht="13.5" customHeight="1" x14ac:dyDescent="0.25">
      <c r="A362" s="307">
        <v>10</v>
      </c>
      <c r="B362" s="307"/>
      <c r="C362" s="170"/>
      <c r="D362" s="309"/>
      <c r="E362" s="170"/>
      <c r="F362" s="311"/>
      <c r="G362" s="313"/>
      <c r="H362" s="315"/>
      <c r="I362" s="8"/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2"/>
    </row>
    <row r="363" spans="1:20" ht="13.5" customHeight="1" x14ac:dyDescent="0.25">
      <c r="A363" s="308"/>
      <c r="B363" s="308"/>
      <c r="C363" s="171" t="str">
        <f>IFERROR(VLOOKUP(C362,Списки!$E:$F,2,0)," ")</f>
        <v xml:space="preserve"> </v>
      </c>
      <c r="D363" s="310"/>
      <c r="E363" s="171" t="str">
        <f>IFERROR(VLOOKUP(E362,Списки!$E:$F,2,0)," ")</f>
        <v xml:space="preserve"> </v>
      </c>
      <c r="F363" s="312"/>
      <c r="G363" s="314"/>
      <c r="H363" s="315"/>
      <c r="I363" s="8"/>
      <c r="J363" s="8"/>
      <c r="K363" s="8"/>
      <c r="L363" s="8"/>
      <c r="M363" s="8"/>
      <c r="N363" s="8"/>
      <c r="O363" s="8"/>
      <c r="P363" s="8"/>
      <c r="Q363" s="8"/>
      <c r="R363" s="8"/>
      <c r="S363" s="8"/>
      <c r="T363" s="82"/>
    </row>
    <row r="364" spans="1:20" ht="13.5" customHeight="1" x14ac:dyDescent="0.25">
      <c r="A364" s="307">
        <v>11</v>
      </c>
      <c r="B364" s="307"/>
      <c r="C364" s="170"/>
      <c r="D364" s="309"/>
      <c r="E364" s="170"/>
      <c r="F364" s="311"/>
      <c r="G364" s="313"/>
      <c r="H364" s="315"/>
      <c r="I364" s="8"/>
      <c r="J364" s="8"/>
      <c r="K364" s="8"/>
      <c r="L364" s="8"/>
      <c r="M364" s="8"/>
      <c r="N364" s="8"/>
      <c r="O364" s="8"/>
      <c r="P364" s="8"/>
      <c r="Q364" s="8"/>
      <c r="R364" s="8"/>
      <c r="S364" s="8"/>
      <c r="T364" s="82"/>
    </row>
    <row r="365" spans="1:20" ht="13.5" customHeight="1" x14ac:dyDescent="0.25">
      <c r="A365" s="308"/>
      <c r="B365" s="308"/>
      <c r="C365" s="171" t="str">
        <f>IFERROR(VLOOKUP(C364,Списки!$E:$F,2,0)," ")</f>
        <v xml:space="preserve"> </v>
      </c>
      <c r="D365" s="310"/>
      <c r="E365" s="171" t="str">
        <f>IFERROR(VLOOKUP(E364,Списки!$E:$F,2,0)," ")</f>
        <v xml:space="preserve"> </v>
      </c>
      <c r="F365" s="312"/>
      <c r="G365" s="314"/>
      <c r="H365" s="315"/>
      <c r="I365" s="8"/>
      <c r="J365" s="8"/>
      <c r="K365" s="8"/>
      <c r="L365" s="8"/>
      <c r="M365" s="8"/>
      <c r="N365" s="8"/>
      <c r="O365" s="8"/>
      <c r="P365" s="8"/>
      <c r="Q365" s="8"/>
      <c r="R365" s="8"/>
      <c r="S365" s="8"/>
      <c r="T365" s="82"/>
    </row>
    <row r="366" spans="1:20" ht="13.5" customHeight="1" x14ac:dyDescent="0.25">
      <c r="A366" s="307">
        <v>12</v>
      </c>
      <c r="B366" s="307"/>
      <c r="C366" s="170"/>
      <c r="D366" s="309"/>
      <c r="E366" s="170"/>
      <c r="F366" s="311"/>
      <c r="G366" s="313"/>
      <c r="H366" s="315"/>
      <c r="I366" s="8"/>
      <c r="J366" s="8"/>
      <c r="K366" s="8"/>
      <c r="L366" s="8"/>
      <c r="M366" s="8"/>
      <c r="N366" s="8"/>
      <c r="O366" s="8"/>
      <c r="P366" s="8"/>
      <c r="Q366" s="8"/>
      <c r="R366" s="8"/>
      <c r="S366" s="8"/>
      <c r="T366" s="82"/>
    </row>
    <row r="367" spans="1:20" ht="13.5" customHeight="1" x14ac:dyDescent="0.25">
      <c r="A367" s="308"/>
      <c r="B367" s="308"/>
      <c r="C367" s="171" t="str">
        <f>IFERROR(VLOOKUP(C366,Списки!$E:$F,2,0)," ")</f>
        <v xml:space="preserve"> </v>
      </c>
      <c r="D367" s="310"/>
      <c r="E367" s="171" t="str">
        <f>IFERROR(VLOOKUP(E366,Списки!$E:$F,2,0)," ")</f>
        <v xml:space="preserve"> </v>
      </c>
      <c r="F367" s="312"/>
      <c r="G367" s="314"/>
      <c r="H367" s="315"/>
      <c r="I367" s="8"/>
      <c r="J367" s="8"/>
      <c r="K367" s="8"/>
      <c r="L367" s="8"/>
      <c r="M367" s="8"/>
      <c r="N367" s="8"/>
      <c r="O367" s="8"/>
      <c r="P367" s="8"/>
      <c r="Q367" s="8"/>
      <c r="R367" s="8"/>
      <c r="S367" s="8"/>
      <c r="T367" s="82"/>
    </row>
    <row r="368" spans="1:20" ht="13.5" customHeight="1" x14ac:dyDescent="0.25">
      <c r="A368" s="307">
        <v>13</v>
      </c>
      <c r="B368" s="307"/>
      <c r="C368" s="170"/>
      <c r="D368" s="309"/>
      <c r="E368" s="170"/>
      <c r="F368" s="311"/>
      <c r="G368" s="313"/>
      <c r="H368" s="315"/>
      <c r="I368" s="8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2"/>
    </row>
    <row r="369" spans="1:20" ht="13.5" customHeight="1" x14ac:dyDescent="0.25">
      <c r="A369" s="308"/>
      <c r="B369" s="308"/>
      <c r="C369" s="171" t="str">
        <f>IFERROR(VLOOKUP(C368,Списки!$E:$F,2,0)," ")</f>
        <v xml:space="preserve"> </v>
      </c>
      <c r="D369" s="310"/>
      <c r="E369" s="171" t="str">
        <f>IFERROR(VLOOKUP(E368,Списки!$E:$F,2,0)," ")</f>
        <v xml:space="preserve"> </v>
      </c>
      <c r="F369" s="312"/>
      <c r="G369" s="314"/>
      <c r="H369" s="315"/>
      <c r="I369" s="8"/>
      <c r="J369" s="8"/>
      <c r="K369" s="8"/>
      <c r="L369" s="8"/>
      <c r="M369" s="8"/>
      <c r="N369" s="8"/>
      <c r="O369" s="8"/>
      <c r="P369" s="8"/>
      <c r="Q369" s="8"/>
      <c r="R369" s="8"/>
      <c r="S369" s="8"/>
      <c r="T369" s="82"/>
    </row>
    <row r="370" spans="1:20" ht="13.5" customHeight="1" x14ac:dyDescent="0.25">
      <c r="A370" s="307">
        <v>14</v>
      </c>
      <c r="B370" s="307"/>
      <c r="C370" s="170"/>
      <c r="D370" s="309"/>
      <c r="E370" s="170"/>
      <c r="F370" s="311"/>
      <c r="G370" s="313"/>
      <c r="H370" s="315"/>
      <c r="I370" s="8"/>
      <c r="J370" s="8"/>
      <c r="K370" s="8"/>
      <c r="L370" s="8"/>
      <c r="M370" s="8"/>
      <c r="N370" s="8"/>
      <c r="O370" s="8"/>
      <c r="P370" s="8"/>
      <c r="Q370" s="8"/>
      <c r="R370" s="8"/>
      <c r="S370" s="8"/>
      <c r="T370" s="82"/>
    </row>
    <row r="371" spans="1:20" ht="13.5" customHeight="1" x14ac:dyDescent="0.25">
      <c r="A371" s="308"/>
      <c r="B371" s="308"/>
      <c r="C371" s="171" t="str">
        <f>IFERROR(VLOOKUP(C370,Списки!$E:$F,2,0)," ")</f>
        <v xml:space="preserve"> </v>
      </c>
      <c r="D371" s="310"/>
      <c r="E371" s="171" t="str">
        <f>IFERROR(VLOOKUP(E370,Списки!$E:$F,2,0)," ")</f>
        <v xml:space="preserve"> </v>
      </c>
      <c r="F371" s="312"/>
      <c r="G371" s="314"/>
      <c r="H371" s="315"/>
      <c r="I371" s="8"/>
      <c r="J371" s="8"/>
      <c r="K371" s="8"/>
      <c r="L371" s="8"/>
      <c r="M371" s="8"/>
      <c r="N371" s="8"/>
      <c r="O371" s="8"/>
      <c r="P371" s="8"/>
      <c r="Q371" s="8"/>
      <c r="R371" s="8"/>
      <c r="S371" s="8"/>
      <c r="T371" s="82"/>
    </row>
    <row r="372" spans="1:20" ht="13.5" customHeight="1" x14ac:dyDescent="0.25">
      <c r="A372" s="307">
        <v>15</v>
      </c>
      <c r="B372" s="307"/>
      <c r="C372" s="170"/>
      <c r="D372" s="309"/>
      <c r="E372" s="170"/>
      <c r="F372" s="311"/>
      <c r="G372" s="313"/>
      <c r="H372" s="315"/>
      <c r="I372" s="8"/>
      <c r="J372" s="8"/>
      <c r="K372" s="8"/>
      <c r="L372" s="8"/>
      <c r="M372" s="8"/>
      <c r="N372" s="8"/>
      <c r="O372" s="8"/>
      <c r="P372" s="8"/>
      <c r="Q372" s="8"/>
      <c r="R372" s="8"/>
      <c r="S372" s="8"/>
      <c r="T372" s="82"/>
    </row>
    <row r="373" spans="1:20" ht="13.5" customHeight="1" x14ac:dyDescent="0.25">
      <c r="A373" s="308"/>
      <c r="B373" s="308"/>
      <c r="C373" s="171" t="str">
        <f>IFERROR(VLOOKUP(C372,Списки!$E:$F,2,0)," ")</f>
        <v xml:space="preserve"> </v>
      </c>
      <c r="D373" s="310"/>
      <c r="E373" s="171" t="str">
        <f>IFERROR(VLOOKUP(E372,Списки!$E:$F,2,0)," ")</f>
        <v xml:space="preserve"> </v>
      </c>
      <c r="F373" s="312"/>
      <c r="G373" s="314"/>
      <c r="H373" s="315"/>
      <c r="I373" s="8"/>
      <c r="J373" s="8"/>
      <c r="K373" s="8"/>
      <c r="L373" s="8"/>
      <c r="M373" s="8"/>
      <c r="N373" s="8"/>
      <c r="O373" s="8"/>
      <c r="P373" s="8"/>
      <c r="Q373" s="8"/>
      <c r="R373" s="8"/>
      <c r="S373" s="8"/>
      <c r="T373" s="82"/>
    </row>
    <row r="374" spans="1:20" x14ac:dyDescent="0.25">
      <c r="A374" s="36"/>
      <c r="B374" s="37"/>
      <c r="C374" s="173"/>
      <c r="D374" s="173"/>
      <c r="E374" s="174" t="s">
        <v>30</v>
      </c>
      <c r="F374" s="39">
        <f>IFERROR(SUM(IFERROR(IF((LOOKUP(9E+307,F344:F373))&gt;$M$39,(LOOKUP(9E+307,F344:F373))-$M$39,IF((LOOKUP(9E+307,F344:F373))&lt;0.166666667,0+(LOOKUP(9E+307,F344:F373))+1-$M$39,0)),0),(IF(AND(IF(D344,$M$38-D344,0)&gt;0,F344,F344&gt;D344),$M$38-D344,IF(AND(D344,F344,D344&gt;F344),"error",0)))),"ОШИБКА")</f>
        <v>0</v>
      </c>
      <c r="G374" s="40" t="s">
        <v>27</v>
      </c>
      <c r="H374" s="206">
        <f>SUM(H344:H373)</f>
        <v>0</v>
      </c>
      <c r="I374" s="8"/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2"/>
    </row>
    <row r="375" spans="1:20" ht="15.75" x14ac:dyDescent="0.25">
      <c r="A375" s="316">
        <f>DATE(K1,J1,12)</f>
        <v>43842</v>
      </c>
      <c r="B375" s="316"/>
      <c r="C375" s="316"/>
      <c r="D375" s="316"/>
      <c r="E375" s="316"/>
      <c r="F375" s="316"/>
      <c r="G375" s="316"/>
      <c r="H375" s="316"/>
      <c r="I375" s="8"/>
      <c r="J375" s="8"/>
      <c r="K375" s="8"/>
      <c r="L375" s="8"/>
      <c r="M375" s="8"/>
      <c r="N375" s="8"/>
      <c r="O375" s="8"/>
      <c r="P375" s="8"/>
      <c r="Q375" s="8"/>
      <c r="R375" s="8"/>
      <c r="S375" s="8"/>
      <c r="T375" s="82"/>
    </row>
    <row r="376" spans="1:20" ht="13.5" customHeight="1" x14ac:dyDescent="0.25">
      <c r="A376" s="318"/>
      <c r="B376" s="320" t="s">
        <v>34</v>
      </c>
      <c r="C376" s="205" t="s">
        <v>39</v>
      </c>
      <c r="D376" s="322" t="s">
        <v>36</v>
      </c>
      <c r="E376" s="205" t="s">
        <v>37</v>
      </c>
      <c r="F376" s="320" t="s">
        <v>36</v>
      </c>
      <c r="G376" s="324" t="s">
        <v>35</v>
      </c>
      <c r="H376" s="315" t="s">
        <v>40</v>
      </c>
      <c r="I376" s="8"/>
      <c r="J376" s="8"/>
      <c r="K376" s="8"/>
      <c r="L376" s="8"/>
      <c r="M376" s="8"/>
      <c r="N376" s="8"/>
      <c r="O376" s="8"/>
      <c r="P376" s="8"/>
      <c r="Q376" s="8"/>
      <c r="R376" s="8"/>
      <c r="S376" s="8"/>
      <c r="T376" s="82"/>
    </row>
    <row r="377" spans="1:20" ht="13.5" customHeight="1" x14ac:dyDescent="0.25">
      <c r="A377" s="319"/>
      <c r="B377" s="321"/>
      <c r="C377" s="204" t="s">
        <v>38</v>
      </c>
      <c r="D377" s="323"/>
      <c r="E377" s="204" t="s">
        <v>38</v>
      </c>
      <c r="F377" s="321"/>
      <c r="G377" s="325"/>
      <c r="H377" s="315"/>
      <c r="I377" s="8"/>
      <c r="J377" s="8"/>
      <c r="K377" s="8"/>
      <c r="L377" s="8"/>
      <c r="M377" s="8"/>
      <c r="N377" s="8"/>
      <c r="O377" s="8"/>
      <c r="P377" s="8"/>
      <c r="Q377" s="8"/>
      <c r="R377" s="8"/>
      <c r="S377" s="8"/>
      <c r="T377" s="82"/>
    </row>
    <row r="378" spans="1:20" ht="13.5" customHeight="1" x14ac:dyDescent="0.25">
      <c r="A378" s="307">
        <v>1</v>
      </c>
      <c r="B378" s="307"/>
      <c r="C378" s="170" t="s">
        <v>43</v>
      </c>
      <c r="D378" s="309"/>
      <c r="E378" s="170" t="s">
        <v>44</v>
      </c>
      <c r="F378" s="311"/>
      <c r="G378" s="313"/>
      <c r="H378" s="315"/>
      <c r="I378" s="8"/>
      <c r="J378" s="8"/>
      <c r="K378" s="8"/>
      <c r="L378" s="8"/>
      <c r="M378" s="8"/>
      <c r="N378" s="8"/>
      <c r="O378" s="8"/>
      <c r="P378" s="8"/>
      <c r="Q378" s="8"/>
      <c r="R378" s="8"/>
      <c r="S378" s="8"/>
      <c r="T378" s="82"/>
    </row>
    <row r="379" spans="1:20" ht="13.5" customHeight="1" x14ac:dyDescent="0.25">
      <c r="A379" s="308"/>
      <c r="B379" s="308"/>
      <c r="C379" s="171" t="str">
        <f>IFERROR(VLOOKUP(C378,Списки!$E:$F,2,0)," ")</f>
        <v>SAVUSHKINA ST 128</v>
      </c>
      <c r="D379" s="310"/>
      <c r="E379" s="171" t="str">
        <f>IFERROR(VLOOKUP(E378,Списки!$E:$F,2,0)," ")</f>
        <v>LEVASHOVSKOE HWY 20</v>
      </c>
      <c r="F379" s="312"/>
      <c r="G379" s="314"/>
      <c r="H379" s="315"/>
      <c r="I379" s="8"/>
      <c r="J379" s="8"/>
      <c r="K379" s="8"/>
      <c r="L379" s="8"/>
      <c r="M379" s="8"/>
      <c r="N379" s="8"/>
      <c r="O379" s="8"/>
      <c r="P379" s="8"/>
      <c r="Q379" s="8"/>
      <c r="R379" s="8"/>
      <c r="S379" s="8"/>
      <c r="T379" s="82"/>
    </row>
    <row r="380" spans="1:20" ht="13.5" customHeight="1" x14ac:dyDescent="0.25">
      <c r="A380" s="307">
        <v>2</v>
      </c>
      <c r="B380" s="307"/>
      <c r="C380" s="170" t="s">
        <v>44</v>
      </c>
      <c r="D380" s="309"/>
      <c r="E380" s="170"/>
      <c r="F380" s="311"/>
      <c r="G380" s="313"/>
      <c r="H380" s="315"/>
      <c r="I380" s="8"/>
      <c r="J380" s="8"/>
      <c r="K380" s="8"/>
      <c r="L380" s="8"/>
      <c r="M380" s="8"/>
      <c r="N380" s="8"/>
      <c r="O380" s="8"/>
      <c r="P380" s="8"/>
      <c r="Q380" s="8"/>
      <c r="R380" s="8"/>
      <c r="S380" s="8"/>
      <c r="T380" s="82"/>
    </row>
    <row r="381" spans="1:20" ht="13.5" customHeight="1" x14ac:dyDescent="0.25">
      <c r="A381" s="308"/>
      <c r="B381" s="308"/>
      <c r="C381" s="171" t="str">
        <f>IFERROR(VLOOKUP(C380,Списки!$E:$F,2,0)," ")</f>
        <v>LEVASHOVSKOE HWY 20</v>
      </c>
      <c r="D381" s="310"/>
      <c r="E381" s="171" t="str">
        <f>IFERROR(VLOOKUP(E380,Списки!$E:$F,2,0)," ")</f>
        <v xml:space="preserve"> </v>
      </c>
      <c r="F381" s="312"/>
      <c r="G381" s="314"/>
      <c r="H381" s="315"/>
      <c r="I381" s="8"/>
      <c r="J381" s="8"/>
      <c r="K381" s="8"/>
      <c r="L381" s="8"/>
      <c r="M381" s="8"/>
      <c r="N381" s="8"/>
      <c r="O381" s="8"/>
      <c r="P381" s="8"/>
      <c r="Q381" s="8"/>
      <c r="R381" s="8"/>
      <c r="S381" s="8"/>
      <c r="T381" s="82"/>
    </row>
    <row r="382" spans="1:20" ht="13.5" customHeight="1" x14ac:dyDescent="0.25">
      <c r="A382" s="307">
        <v>3</v>
      </c>
      <c r="B382" s="307"/>
      <c r="C382" s="170"/>
      <c r="D382" s="309"/>
      <c r="E382" s="170"/>
      <c r="F382" s="311"/>
      <c r="G382" s="313"/>
      <c r="H382" s="315"/>
      <c r="I382" s="8"/>
      <c r="J382" s="8"/>
      <c r="K382" s="8"/>
      <c r="L382" s="8"/>
      <c r="M382" s="8"/>
      <c r="N382" s="8"/>
      <c r="O382" s="8"/>
      <c r="P382" s="8"/>
      <c r="Q382" s="8"/>
      <c r="R382" s="8"/>
      <c r="S382" s="8"/>
      <c r="T382" s="82"/>
    </row>
    <row r="383" spans="1:20" ht="13.5" customHeight="1" x14ac:dyDescent="0.25">
      <c r="A383" s="308"/>
      <c r="B383" s="308"/>
      <c r="C383" s="171" t="str">
        <f>IFERROR(VLOOKUP(C382,Списки!$E:$F,2,0)," ")</f>
        <v xml:space="preserve"> </v>
      </c>
      <c r="D383" s="310"/>
      <c r="E383" s="171" t="str">
        <f>IFERROR(VLOOKUP(E382,Списки!$E:$F,2,0)," ")</f>
        <v xml:space="preserve"> </v>
      </c>
      <c r="F383" s="312"/>
      <c r="G383" s="314"/>
      <c r="H383" s="315"/>
      <c r="I383" s="8"/>
      <c r="J383" s="8"/>
      <c r="K383" s="8"/>
      <c r="L383" s="8"/>
      <c r="M383" s="8"/>
      <c r="N383" s="8"/>
      <c r="O383" s="8"/>
      <c r="P383" s="8"/>
      <c r="Q383" s="8"/>
      <c r="R383" s="8"/>
      <c r="S383" s="8"/>
      <c r="T383" s="82"/>
    </row>
    <row r="384" spans="1:20" ht="13.5" customHeight="1" x14ac:dyDescent="0.25">
      <c r="A384" s="307">
        <v>4</v>
      </c>
      <c r="B384" s="307"/>
      <c r="C384" s="170"/>
      <c r="D384" s="309"/>
      <c r="E384" s="170"/>
      <c r="F384" s="311"/>
      <c r="G384" s="313"/>
      <c r="H384" s="315"/>
      <c r="I384" s="8"/>
      <c r="J384" s="8"/>
      <c r="K384" s="8"/>
      <c r="L384" s="8"/>
      <c r="M384" s="8"/>
      <c r="N384" s="8"/>
      <c r="O384" s="8"/>
      <c r="P384" s="8"/>
      <c r="Q384" s="8"/>
      <c r="R384" s="8"/>
      <c r="S384" s="8"/>
      <c r="T384" s="82"/>
    </row>
    <row r="385" spans="1:20" ht="13.5" customHeight="1" x14ac:dyDescent="0.25">
      <c r="A385" s="308"/>
      <c r="B385" s="308"/>
      <c r="C385" s="171" t="str">
        <f>IFERROR(VLOOKUP(C384,Списки!$E:$F,2,0)," ")</f>
        <v xml:space="preserve"> </v>
      </c>
      <c r="D385" s="310"/>
      <c r="E385" s="171" t="str">
        <f>IFERROR(VLOOKUP(E384,Списки!$E:$F,2,0)," ")</f>
        <v xml:space="preserve"> </v>
      </c>
      <c r="F385" s="312"/>
      <c r="G385" s="314"/>
      <c r="H385" s="315"/>
      <c r="I385" s="8"/>
      <c r="J385" s="8"/>
      <c r="K385" s="8"/>
      <c r="L385" s="8"/>
      <c r="M385" s="8"/>
      <c r="N385" s="8"/>
      <c r="O385" s="8"/>
      <c r="P385" s="8"/>
      <c r="Q385" s="8"/>
      <c r="R385" s="8"/>
      <c r="S385" s="8"/>
      <c r="T385" s="82"/>
    </row>
    <row r="386" spans="1:20" ht="13.5" customHeight="1" x14ac:dyDescent="0.25">
      <c r="A386" s="307">
        <v>5</v>
      </c>
      <c r="B386" s="307"/>
      <c r="C386" s="170"/>
      <c r="D386" s="309"/>
      <c r="E386" s="172"/>
      <c r="F386" s="311"/>
      <c r="G386" s="313"/>
      <c r="H386" s="315"/>
      <c r="I386" s="8"/>
      <c r="J386" s="8"/>
      <c r="K386" s="8"/>
      <c r="L386" s="8"/>
      <c r="M386" s="8"/>
      <c r="N386" s="8"/>
      <c r="O386" s="8"/>
      <c r="P386" s="8"/>
      <c r="Q386" s="8"/>
      <c r="R386" s="8"/>
      <c r="S386" s="8"/>
      <c r="T386" s="82"/>
    </row>
    <row r="387" spans="1:20" ht="13.5" customHeight="1" x14ac:dyDescent="0.25">
      <c r="A387" s="308"/>
      <c r="B387" s="308"/>
      <c r="C387" s="171" t="str">
        <f>IFERROR(VLOOKUP(C386,Списки!$E:$F,2,0)," ")</f>
        <v xml:space="preserve"> </v>
      </c>
      <c r="D387" s="310"/>
      <c r="E387" s="172" t="str">
        <f>IFERROR(VLOOKUP(E386,Списки!$E:$F,2,0)," ")</f>
        <v xml:space="preserve"> </v>
      </c>
      <c r="F387" s="312"/>
      <c r="G387" s="314"/>
      <c r="H387" s="315"/>
      <c r="I387" s="8"/>
      <c r="J387" s="8"/>
      <c r="K387" s="8"/>
      <c r="L387" s="8"/>
      <c r="M387" s="8"/>
      <c r="N387" s="8"/>
      <c r="O387" s="8"/>
      <c r="P387" s="8"/>
      <c r="Q387" s="8"/>
      <c r="R387" s="8"/>
      <c r="S387" s="8"/>
      <c r="T387" s="82"/>
    </row>
    <row r="388" spans="1:20" ht="13.5" customHeight="1" x14ac:dyDescent="0.25">
      <c r="A388" s="307">
        <v>6</v>
      </c>
      <c r="B388" s="307"/>
      <c r="C388" s="170"/>
      <c r="D388" s="309"/>
      <c r="E388" s="170"/>
      <c r="F388" s="311"/>
      <c r="G388" s="313"/>
      <c r="H388" s="315"/>
      <c r="I388" s="8"/>
      <c r="J388" s="8"/>
      <c r="K388" s="8"/>
      <c r="L388" s="8"/>
      <c r="M388" s="8"/>
      <c r="N388" s="8"/>
      <c r="O388" s="8"/>
      <c r="P388" s="8"/>
      <c r="Q388" s="8"/>
      <c r="R388" s="8"/>
      <c r="S388" s="8"/>
      <c r="T388" s="82"/>
    </row>
    <row r="389" spans="1:20" ht="13.5" customHeight="1" x14ac:dyDescent="0.25">
      <c r="A389" s="308"/>
      <c r="B389" s="308"/>
      <c r="C389" s="171" t="str">
        <f>IFERROR(VLOOKUP(C388,Списки!$E:$F,2,0)," ")</f>
        <v xml:space="preserve"> </v>
      </c>
      <c r="D389" s="310"/>
      <c r="E389" s="179" t="str">
        <f>IFERROR(VLOOKUP(E388,Списки!$E:$F,2,0)," ")</f>
        <v xml:space="preserve"> </v>
      </c>
      <c r="F389" s="312"/>
      <c r="G389" s="314"/>
      <c r="H389" s="315"/>
      <c r="I389" s="8"/>
      <c r="J389" s="8"/>
      <c r="K389" s="8"/>
      <c r="L389" s="8"/>
      <c r="M389" s="8"/>
      <c r="N389" s="8"/>
      <c r="O389" s="8"/>
      <c r="P389" s="8"/>
      <c r="Q389" s="8"/>
      <c r="R389" s="8"/>
      <c r="S389" s="8"/>
      <c r="T389" s="82"/>
    </row>
    <row r="390" spans="1:20" ht="13.5" customHeight="1" x14ac:dyDescent="0.25">
      <c r="A390" s="307">
        <v>7</v>
      </c>
      <c r="B390" s="307"/>
      <c r="C390" s="170"/>
      <c r="D390" s="309"/>
      <c r="E390" s="170"/>
      <c r="F390" s="311"/>
      <c r="G390" s="313"/>
      <c r="H390" s="315"/>
      <c r="I390" s="8"/>
      <c r="J390" s="8"/>
      <c r="K390" s="8"/>
      <c r="L390" s="8"/>
      <c r="M390" s="8"/>
      <c r="N390" s="8"/>
      <c r="O390" s="8"/>
      <c r="P390" s="8"/>
      <c r="Q390" s="8"/>
      <c r="R390" s="8"/>
      <c r="S390" s="8"/>
      <c r="T390" s="82"/>
    </row>
    <row r="391" spans="1:20" ht="13.5" customHeight="1" x14ac:dyDescent="0.25">
      <c r="A391" s="308"/>
      <c r="B391" s="308"/>
      <c r="C391" s="179" t="str">
        <f>IFERROR(VLOOKUP(C390,Списки!$E:$F,2,0)," ")</f>
        <v xml:space="preserve"> </v>
      </c>
      <c r="D391" s="310"/>
      <c r="E391" s="171" t="str">
        <f>IFERROR(VLOOKUP(E390,Списки!$E:$F,2,0)," ")</f>
        <v xml:space="preserve"> </v>
      </c>
      <c r="F391" s="312"/>
      <c r="G391" s="314"/>
      <c r="H391" s="315"/>
      <c r="I391" s="8"/>
      <c r="J391" s="8"/>
      <c r="K391" s="8"/>
      <c r="L391" s="8"/>
      <c r="M391" s="8"/>
      <c r="N391" s="8"/>
      <c r="O391" s="8"/>
      <c r="P391" s="8"/>
      <c r="Q391" s="8"/>
      <c r="R391" s="8"/>
      <c r="S391" s="8"/>
      <c r="T391" s="82"/>
    </row>
    <row r="392" spans="1:20" ht="13.5" customHeight="1" x14ac:dyDescent="0.25">
      <c r="A392" s="307">
        <v>8</v>
      </c>
      <c r="B392" s="307"/>
      <c r="C392" s="170"/>
      <c r="D392" s="309"/>
      <c r="E392" s="170"/>
      <c r="F392" s="311"/>
      <c r="G392" s="313"/>
      <c r="H392" s="315"/>
      <c r="I392" s="8"/>
      <c r="J392" s="8"/>
      <c r="K392" s="8"/>
      <c r="L392" s="8"/>
      <c r="M392" s="8"/>
      <c r="N392" s="8"/>
      <c r="O392" s="8"/>
      <c r="P392" s="8"/>
      <c r="Q392" s="8"/>
      <c r="R392" s="8"/>
      <c r="S392" s="8"/>
      <c r="T392" s="82"/>
    </row>
    <row r="393" spans="1:20" ht="13.5" customHeight="1" x14ac:dyDescent="0.25">
      <c r="A393" s="308"/>
      <c r="B393" s="308"/>
      <c r="C393" s="179" t="str">
        <f>IFERROR(VLOOKUP(C392,Списки!$E:$F,2,0)," ")</f>
        <v xml:space="preserve"> </v>
      </c>
      <c r="D393" s="310"/>
      <c r="E393" s="171" t="str">
        <f>IFERROR(VLOOKUP(E392,Списки!$E:$F,2,0)," ")</f>
        <v xml:space="preserve"> </v>
      </c>
      <c r="F393" s="312"/>
      <c r="G393" s="314"/>
      <c r="H393" s="315"/>
      <c r="I393" s="8"/>
      <c r="J393" s="8"/>
      <c r="K393" s="8"/>
      <c r="L393" s="8"/>
      <c r="M393" s="8"/>
      <c r="N393" s="8"/>
      <c r="O393" s="8"/>
      <c r="P393" s="8"/>
      <c r="Q393" s="8"/>
      <c r="R393" s="8"/>
      <c r="S393" s="8"/>
      <c r="T393" s="82"/>
    </row>
    <row r="394" spans="1:20" ht="13.5" customHeight="1" x14ac:dyDescent="0.25">
      <c r="A394" s="307">
        <v>9</v>
      </c>
      <c r="B394" s="307"/>
      <c r="C394" s="170"/>
      <c r="D394" s="309"/>
      <c r="E394" s="170"/>
      <c r="F394" s="311"/>
      <c r="G394" s="313"/>
      <c r="H394" s="315"/>
      <c r="I394" s="8"/>
      <c r="J394" s="8"/>
      <c r="K394" s="8"/>
      <c r="L394" s="8"/>
      <c r="M394" s="8"/>
      <c r="N394" s="8"/>
      <c r="O394" s="8"/>
      <c r="P394" s="8"/>
      <c r="Q394" s="8"/>
      <c r="R394" s="8"/>
      <c r="S394" s="8"/>
      <c r="T394" s="82"/>
    </row>
    <row r="395" spans="1:20" ht="13.5" customHeight="1" x14ac:dyDescent="0.25">
      <c r="A395" s="308"/>
      <c r="B395" s="308"/>
      <c r="C395" s="171" t="str">
        <f>IFERROR(VLOOKUP(C394,Списки!$E:$F,2,0)," ")</f>
        <v xml:space="preserve"> </v>
      </c>
      <c r="D395" s="310"/>
      <c r="E395" s="171" t="str">
        <f>IFERROR(VLOOKUP(E394,Списки!$E:$F,2,0)," ")</f>
        <v xml:space="preserve"> </v>
      </c>
      <c r="F395" s="312"/>
      <c r="G395" s="314"/>
      <c r="H395" s="315"/>
      <c r="I395" s="8"/>
      <c r="J395" s="8"/>
      <c r="K395" s="8"/>
      <c r="L395" s="8"/>
      <c r="M395" s="8"/>
      <c r="N395" s="8"/>
      <c r="O395" s="8"/>
      <c r="P395" s="8"/>
      <c r="Q395" s="8"/>
      <c r="R395" s="8"/>
      <c r="S395" s="8"/>
      <c r="T395" s="82"/>
    </row>
    <row r="396" spans="1:20" ht="13.5" customHeight="1" x14ac:dyDescent="0.25">
      <c r="A396" s="307">
        <v>10</v>
      </c>
      <c r="B396" s="307"/>
      <c r="C396" s="170"/>
      <c r="D396" s="309"/>
      <c r="E396" s="170"/>
      <c r="F396" s="311"/>
      <c r="G396" s="313"/>
      <c r="H396" s="315"/>
      <c r="I396" s="8"/>
      <c r="J396" s="8"/>
      <c r="K396" s="8"/>
      <c r="L396" s="8"/>
      <c r="M396" s="8"/>
      <c r="N396" s="8"/>
      <c r="O396" s="8"/>
      <c r="P396" s="8"/>
      <c r="Q396" s="8"/>
      <c r="R396" s="8"/>
      <c r="S396" s="8"/>
      <c r="T396" s="82"/>
    </row>
    <row r="397" spans="1:20" ht="13.5" customHeight="1" x14ac:dyDescent="0.25">
      <c r="A397" s="308"/>
      <c r="B397" s="308"/>
      <c r="C397" s="171" t="str">
        <f>IFERROR(VLOOKUP(C396,Списки!$E:$F,2,0)," ")</f>
        <v xml:space="preserve"> </v>
      </c>
      <c r="D397" s="310"/>
      <c r="E397" s="171" t="str">
        <f>IFERROR(VLOOKUP(E396,Списки!$E:$F,2,0)," ")</f>
        <v xml:space="preserve"> </v>
      </c>
      <c r="F397" s="312"/>
      <c r="G397" s="314"/>
      <c r="H397" s="315"/>
      <c r="I397" s="8"/>
      <c r="J397" s="8"/>
      <c r="K397" s="8"/>
      <c r="L397" s="8"/>
      <c r="M397" s="8"/>
      <c r="N397" s="8"/>
      <c r="O397" s="8"/>
      <c r="P397" s="8"/>
      <c r="Q397" s="8"/>
      <c r="R397" s="8"/>
      <c r="S397" s="8"/>
      <c r="T397" s="82"/>
    </row>
    <row r="398" spans="1:20" ht="13.5" customHeight="1" x14ac:dyDescent="0.25">
      <c r="A398" s="307">
        <v>11</v>
      </c>
      <c r="B398" s="307"/>
      <c r="C398" s="170"/>
      <c r="D398" s="309"/>
      <c r="E398" s="170"/>
      <c r="F398" s="311"/>
      <c r="G398" s="313"/>
      <c r="H398" s="315"/>
      <c r="I398" s="8"/>
      <c r="J398" s="8"/>
      <c r="K398" s="8"/>
      <c r="L398" s="8"/>
      <c r="M398" s="8"/>
      <c r="N398" s="8"/>
      <c r="O398" s="8"/>
      <c r="P398" s="8"/>
      <c r="Q398" s="8"/>
      <c r="R398" s="8"/>
      <c r="S398" s="8"/>
      <c r="T398" s="82"/>
    </row>
    <row r="399" spans="1:20" ht="13.5" customHeight="1" x14ac:dyDescent="0.25">
      <c r="A399" s="308"/>
      <c r="B399" s="308"/>
      <c r="C399" s="171" t="str">
        <f>IFERROR(VLOOKUP(C398,Списки!$E:$F,2,0)," ")</f>
        <v xml:space="preserve"> </v>
      </c>
      <c r="D399" s="310"/>
      <c r="E399" s="171" t="str">
        <f>IFERROR(VLOOKUP(E398,Списки!$E:$F,2,0)," ")</f>
        <v xml:space="preserve"> </v>
      </c>
      <c r="F399" s="312"/>
      <c r="G399" s="314"/>
      <c r="H399" s="315"/>
      <c r="I399" s="8"/>
      <c r="J399" s="8"/>
      <c r="K399" s="8"/>
      <c r="L399" s="8"/>
      <c r="M399" s="8"/>
      <c r="N399" s="8"/>
      <c r="O399" s="8"/>
      <c r="P399" s="8"/>
      <c r="Q399" s="8"/>
      <c r="R399" s="8"/>
      <c r="S399" s="8"/>
      <c r="T399" s="82"/>
    </row>
    <row r="400" spans="1:20" ht="13.5" customHeight="1" x14ac:dyDescent="0.25">
      <c r="A400" s="307">
        <v>12</v>
      </c>
      <c r="B400" s="307"/>
      <c r="C400" s="170"/>
      <c r="D400" s="309"/>
      <c r="E400" s="170"/>
      <c r="F400" s="311"/>
      <c r="G400" s="313"/>
      <c r="H400" s="315"/>
      <c r="I400" s="8"/>
      <c r="J400" s="8"/>
      <c r="K400" s="8"/>
      <c r="L400" s="8"/>
      <c r="M400" s="8"/>
      <c r="N400" s="8"/>
      <c r="O400" s="8"/>
      <c r="P400" s="8"/>
      <c r="Q400" s="8"/>
      <c r="R400" s="8"/>
      <c r="S400" s="8"/>
      <c r="T400" s="82"/>
    </row>
    <row r="401" spans="1:20" ht="13.5" customHeight="1" x14ac:dyDescent="0.25">
      <c r="A401" s="308"/>
      <c r="B401" s="308"/>
      <c r="C401" s="171" t="str">
        <f>IFERROR(VLOOKUP(C400,Списки!$E:$F,2,0)," ")</f>
        <v xml:space="preserve"> </v>
      </c>
      <c r="D401" s="310"/>
      <c r="E401" s="171" t="str">
        <f>IFERROR(VLOOKUP(E400,Списки!$E:$F,2,0)," ")</f>
        <v xml:space="preserve"> </v>
      </c>
      <c r="F401" s="312"/>
      <c r="G401" s="314"/>
      <c r="H401" s="315"/>
      <c r="I401" s="8"/>
      <c r="J401" s="8"/>
      <c r="K401" s="8"/>
      <c r="L401" s="8"/>
      <c r="M401" s="8"/>
      <c r="N401" s="8"/>
      <c r="O401" s="8"/>
      <c r="P401" s="8"/>
      <c r="Q401" s="8"/>
      <c r="R401" s="8"/>
      <c r="S401" s="8"/>
      <c r="T401" s="82"/>
    </row>
    <row r="402" spans="1:20" ht="13.5" customHeight="1" x14ac:dyDescent="0.25">
      <c r="A402" s="307">
        <v>13</v>
      </c>
      <c r="B402" s="307"/>
      <c r="C402" s="170"/>
      <c r="D402" s="309"/>
      <c r="E402" s="170"/>
      <c r="F402" s="311"/>
      <c r="G402" s="313"/>
      <c r="H402" s="315"/>
      <c r="I402" s="8"/>
      <c r="J402" s="8"/>
      <c r="K402" s="8"/>
      <c r="L402" s="8"/>
      <c r="M402" s="8"/>
      <c r="N402" s="8"/>
      <c r="O402" s="8"/>
      <c r="P402" s="8"/>
      <c r="Q402" s="8"/>
      <c r="R402" s="8"/>
      <c r="S402" s="8"/>
      <c r="T402" s="82"/>
    </row>
    <row r="403" spans="1:20" ht="13.5" customHeight="1" x14ac:dyDescent="0.25">
      <c r="A403" s="308"/>
      <c r="B403" s="308"/>
      <c r="C403" s="171" t="str">
        <f>IFERROR(VLOOKUP(C402,Списки!$E:$F,2,0)," ")</f>
        <v xml:space="preserve"> </v>
      </c>
      <c r="D403" s="310"/>
      <c r="E403" s="171" t="str">
        <f>IFERROR(VLOOKUP(E402,Списки!$E:$F,2,0)," ")</f>
        <v xml:space="preserve"> </v>
      </c>
      <c r="F403" s="312"/>
      <c r="G403" s="314"/>
      <c r="H403" s="315"/>
      <c r="I403" s="8"/>
      <c r="J403" s="8"/>
      <c r="K403" s="8"/>
      <c r="L403" s="8"/>
      <c r="M403" s="8"/>
      <c r="N403" s="8"/>
      <c r="O403" s="8"/>
      <c r="P403" s="8"/>
      <c r="Q403" s="8"/>
      <c r="R403" s="8"/>
      <c r="S403" s="8"/>
      <c r="T403" s="82"/>
    </row>
    <row r="404" spans="1:20" ht="13.5" customHeight="1" x14ac:dyDescent="0.25">
      <c r="A404" s="307">
        <v>14</v>
      </c>
      <c r="B404" s="307"/>
      <c r="C404" s="170"/>
      <c r="D404" s="309"/>
      <c r="E404" s="170"/>
      <c r="F404" s="311"/>
      <c r="G404" s="313"/>
      <c r="H404" s="315"/>
      <c r="I404" s="8"/>
      <c r="J404" s="8"/>
      <c r="K404" s="8"/>
      <c r="L404" s="8"/>
      <c r="M404" s="8"/>
      <c r="N404" s="8"/>
      <c r="O404" s="8"/>
      <c r="P404" s="8"/>
      <c r="Q404" s="8"/>
      <c r="R404" s="8"/>
      <c r="S404" s="8"/>
      <c r="T404" s="82"/>
    </row>
    <row r="405" spans="1:20" ht="13.5" customHeight="1" x14ac:dyDescent="0.25">
      <c r="A405" s="308"/>
      <c r="B405" s="308"/>
      <c r="C405" s="171" t="str">
        <f>IFERROR(VLOOKUP(C404,Списки!$E:$F,2,0)," ")</f>
        <v xml:space="preserve"> </v>
      </c>
      <c r="D405" s="310"/>
      <c r="E405" s="171" t="str">
        <f>IFERROR(VLOOKUP(E404,Списки!$E:$F,2,0)," ")</f>
        <v xml:space="preserve"> </v>
      </c>
      <c r="F405" s="312"/>
      <c r="G405" s="314"/>
      <c r="H405" s="315"/>
      <c r="I405" s="8"/>
      <c r="J405" s="8"/>
      <c r="K405" s="8"/>
      <c r="L405" s="8"/>
      <c r="M405" s="8"/>
      <c r="N405" s="8"/>
      <c r="O405" s="8"/>
      <c r="P405" s="8"/>
      <c r="Q405" s="8"/>
      <c r="R405" s="8"/>
      <c r="S405" s="8"/>
      <c r="T405" s="82"/>
    </row>
    <row r="406" spans="1:20" ht="13.5" customHeight="1" x14ac:dyDescent="0.25">
      <c r="A406" s="307">
        <v>15</v>
      </c>
      <c r="B406" s="307"/>
      <c r="C406" s="170"/>
      <c r="D406" s="309"/>
      <c r="E406" s="170"/>
      <c r="F406" s="311"/>
      <c r="G406" s="313"/>
      <c r="H406" s="315"/>
      <c r="I406" s="8"/>
      <c r="J406" s="8"/>
      <c r="K406" s="8"/>
      <c r="L406" s="8"/>
      <c r="M406" s="8"/>
      <c r="N406" s="8"/>
      <c r="O406" s="8"/>
      <c r="P406" s="8"/>
      <c r="Q406" s="8"/>
      <c r="R406" s="8"/>
      <c r="S406" s="8"/>
      <c r="T406" s="82"/>
    </row>
    <row r="407" spans="1:20" ht="13.5" customHeight="1" x14ac:dyDescent="0.25">
      <c r="A407" s="308"/>
      <c r="B407" s="308"/>
      <c r="C407" s="171" t="str">
        <f>IFERROR(VLOOKUP(C406,Списки!$E:$F,2,0)," ")</f>
        <v xml:space="preserve"> </v>
      </c>
      <c r="D407" s="310"/>
      <c r="E407" s="171" t="str">
        <f>IFERROR(VLOOKUP(E406,Списки!$E:$F,2,0)," ")</f>
        <v xml:space="preserve"> </v>
      </c>
      <c r="F407" s="312"/>
      <c r="G407" s="314"/>
      <c r="H407" s="315"/>
      <c r="I407" s="8"/>
      <c r="J407" s="8"/>
      <c r="K407" s="8"/>
      <c r="L407" s="8"/>
      <c r="M407" s="8"/>
      <c r="N407" s="8"/>
      <c r="O407" s="8"/>
      <c r="P407" s="8"/>
      <c r="Q407" s="8"/>
      <c r="R407" s="8"/>
      <c r="S407" s="8"/>
      <c r="T407" s="82"/>
    </row>
    <row r="408" spans="1:20" x14ac:dyDescent="0.25">
      <c r="A408" s="36"/>
      <c r="B408" s="37"/>
      <c r="C408" s="173"/>
      <c r="D408" s="173"/>
      <c r="E408" s="174" t="s">
        <v>30</v>
      </c>
      <c r="F408" s="39">
        <f>IFERROR(SUM(IFERROR(IF((LOOKUP(9E+307,F378:F407))&gt;$M$39,(LOOKUP(9E+307,F378:F407))-$M$39,IF((LOOKUP(9E+307,F378:F407))&lt;0.166666667,0+(LOOKUP(9E+307,F378:F407))+1-$M$39,0)),0),(IF(AND(IF(D378,$M$38-D378,0)&gt;0,F378,F378&gt;D378),$M$38-D378,IF(AND(D378,F378,D378&gt;F378),"error",0)))),"ОШИБКА")</f>
        <v>0</v>
      </c>
      <c r="G408" s="40" t="s">
        <v>27</v>
      </c>
      <c r="H408" s="206">
        <f>SUM(H378:H407)</f>
        <v>0</v>
      </c>
      <c r="I408" s="8"/>
      <c r="J408" s="8"/>
      <c r="K408" s="8"/>
      <c r="L408" s="8"/>
      <c r="M408" s="8"/>
      <c r="N408" s="8"/>
      <c r="O408" s="8"/>
      <c r="P408" s="8"/>
      <c r="Q408" s="8"/>
      <c r="R408" s="8"/>
      <c r="S408" s="8"/>
      <c r="T408" s="82"/>
    </row>
    <row r="409" spans="1:20" ht="15.75" x14ac:dyDescent="0.25">
      <c r="A409" s="316">
        <f>DATE(K1,J1,13)</f>
        <v>43843</v>
      </c>
      <c r="B409" s="316"/>
      <c r="C409" s="316"/>
      <c r="D409" s="316"/>
      <c r="E409" s="316"/>
      <c r="F409" s="316"/>
      <c r="G409" s="316"/>
      <c r="H409" s="316"/>
      <c r="I409" s="8"/>
      <c r="J409" s="8"/>
      <c r="K409" s="8"/>
      <c r="L409" s="8"/>
      <c r="M409" s="8"/>
      <c r="N409" s="8"/>
      <c r="O409" s="8"/>
      <c r="P409" s="8"/>
      <c r="Q409" s="8"/>
      <c r="R409" s="8"/>
      <c r="S409" s="8"/>
      <c r="T409" s="82"/>
    </row>
    <row r="410" spans="1:20" ht="13.5" customHeight="1" x14ac:dyDescent="0.25">
      <c r="A410" s="318"/>
      <c r="B410" s="320" t="s">
        <v>34</v>
      </c>
      <c r="C410" s="205" t="s">
        <v>39</v>
      </c>
      <c r="D410" s="322" t="s">
        <v>36</v>
      </c>
      <c r="E410" s="205" t="s">
        <v>37</v>
      </c>
      <c r="F410" s="320" t="s">
        <v>36</v>
      </c>
      <c r="G410" s="324" t="s">
        <v>35</v>
      </c>
      <c r="H410" s="315" t="s">
        <v>40</v>
      </c>
      <c r="I410" s="8"/>
      <c r="J410" s="8"/>
      <c r="K410" s="8"/>
      <c r="L410" s="8"/>
      <c r="M410" s="8"/>
      <c r="N410" s="8"/>
      <c r="O410" s="8"/>
      <c r="P410" s="8"/>
      <c r="Q410" s="8"/>
      <c r="R410" s="8"/>
      <c r="S410" s="8"/>
      <c r="T410" s="82"/>
    </row>
    <row r="411" spans="1:20" ht="13.5" customHeight="1" x14ac:dyDescent="0.25">
      <c r="A411" s="319"/>
      <c r="B411" s="321"/>
      <c r="C411" s="204" t="s">
        <v>38</v>
      </c>
      <c r="D411" s="323"/>
      <c r="E411" s="204" t="s">
        <v>38</v>
      </c>
      <c r="F411" s="321"/>
      <c r="G411" s="325"/>
      <c r="H411" s="315"/>
      <c r="I411" s="8"/>
      <c r="J411" s="8"/>
      <c r="K411" s="8"/>
      <c r="L411" s="8"/>
      <c r="M411" s="8"/>
      <c r="N411" s="8"/>
      <c r="O411" s="8"/>
      <c r="P411" s="8"/>
      <c r="Q411" s="8"/>
      <c r="R411" s="8"/>
      <c r="S411" s="8"/>
      <c r="T411" s="82"/>
    </row>
    <row r="412" spans="1:20" ht="13.5" customHeight="1" x14ac:dyDescent="0.25">
      <c r="A412" s="307">
        <v>1</v>
      </c>
      <c r="B412" s="307"/>
      <c r="C412" s="234" t="s">
        <v>43</v>
      </c>
      <c r="D412" s="328"/>
      <c r="E412" s="234" t="s">
        <v>44</v>
      </c>
      <c r="F412" s="311">
        <v>0.33333333333333331</v>
      </c>
      <c r="G412" s="313"/>
      <c r="H412" s="315">
        <v>17</v>
      </c>
      <c r="I412" s="8"/>
      <c r="J412" s="8"/>
      <c r="K412" s="8"/>
      <c r="L412" s="8"/>
      <c r="M412" s="8"/>
      <c r="N412" s="8"/>
      <c r="O412" s="8"/>
      <c r="P412" s="8"/>
      <c r="Q412" s="8"/>
      <c r="R412" s="8"/>
      <c r="S412" s="8"/>
      <c r="T412" s="82"/>
    </row>
    <row r="413" spans="1:20" ht="13.5" customHeight="1" x14ac:dyDescent="0.25">
      <c r="A413" s="308"/>
      <c r="B413" s="308"/>
      <c r="C413" s="171" t="str">
        <f>IFERROR(VLOOKUP(C412,Списки!$E:$F,2,0)," ")</f>
        <v>SAVUSHKINA ST 128</v>
      </c>
      <c r="D413" s="329"/>
      <c r="E413" s="171" t="str">
        <f>IFERROR(VLOOKUP(E412,Списки!$E:$F,2,0)," ")</f>
        <v>LEVASHOVSKOE HWY 20</v>
      </c>
      <c r="F413" s="312"/>
      <c r="G413" s="314"/>
      <c r="H413" s="315"/>
      <c r="I413" s="8"/>
      <c r="J413" s="8"/>
      <c r="K413" s="8"/>
      <c r="L413" s="8"/>
      <c r="M413" s="8"/>
      <c r="N413" s="8"/>
      <c r="O413" s="8"/>
      <c r="P413" s="8"/>
      <c r="Q413" s="8"/>
      <c r="R413" s="8"/>
      <c r="S413" s="8"/>
      <c r="T413" s="82"/>
    </row>
    <row r="414" spans="1:20" ht="13.5" customHeight="1" x14ac:dyDescent="0.25">
      <c r="A414" s="307">
        <v>2</v>
      </c>
      <c r="B414" s="307"/>
      <c r="C414" s="234" t="s">
        <v>44</v>
      </c>
      <c r="D414" s="328">
        <v>0.4236111111111111</v>
      </c>
      <c r="E414" s="234" t="s">
        <v>250</v>
      </c>
      <c r="F414" s="311">
        <v>0.4375</v>
      </c>
      <c r="G414" s="313"/>
      <c r="H414" s="315">
        <v>14</v>
      </c>
      <c r="I414" s="8"/>
      <c r="J414" s="8"/>
      <c r="K414" s="8"/>
      <c r="L414" s="8"/>
      <c r="M414" s="8"/>
      <c r="N414" s="8"/>
      <c r="O414" s="8"/>
      <c r="P414" s="8"/>
      <c r="Q414" s="8"/>
      <c r="R414" s="8"/>
      <c r="S414" s="8"/>
      <c r="T414" s="82"/>
    </row>
    <row r="415" spans="1:20" ht="13.5" customHeight="1" x14ac:dyDescent="0.25">
      <c r="A415" s="308"/>
      <c r="B415" s="308"/>
      <c r="C415" s="171" t="str">
        <f>IFERROR(VLOOKUP(C414,Списки!$E:$F,2,0)," ")</f>
        <v>LEVASHOVSKOE HWY 20</v>
      </c>
      <c r="D415" s="329"/>
      <c r="E415" s="171" t="str">
        <f>IFERROR(VLOOKUP(E414,Списки!$E:$F,2,0)," ")</f>
        <v>PLANERNAYA ST 7</v>
      </c>
      <c r="F415" s="312"/>
      <c r="G415" s="314"/>
      <c r="H415" s="315"/>
      <c r="I415" s="8"/>
      <c r="J415" s="8"/>
      <c r="K415" s="8"/>
      <c r="L415" s="8"/>
      <c r="M415" s="8"/>
      <c r="N415" s="8"/>
      <c r="O415" s="8"/>
      <c r="P415" s="8"/>
      <c r="Q415" s="8"/>
      <c r="R415" s="8"/>
      <c r="S415" s="8"/>
      <c r="T415" s="82"/>
    </row>
    <row r="416" spans="1:20" ht="13.5" customHeight="1" x14ac:dyDescent="0.25">
      <c r="A416" s="307">
        <v>3</v>
      </c>
      <c r="B416" s="307" t="s">
        <v>51</v>
      </c>
      <c r="C416" s="234" t="s">
        <v>250</v>
      </c>
      <c r="D416" s="328">
        <v>0.44444444444444442</v>
      </c>
      <c r="E416" s="234" t="s">
        <v>44</v>
      </c>
      <c r="F416" s="311">
        <v>0.45833333333333331</v>
      </c>
      <c r="G416" s="313" t="s">
        <v>92</v>
      </c>
      <c r="H416" s="315">
        <v>16</v>
      </c>
      <c r="I416" s="8"/>
      <c r="J416" s="8"/>
      <c r="K416" s="8"/>
      <c r="L416" s="8"/>
      <c r="M416" s="8"/>
      <c r="N416" s="8"/>
      <c r="O416" s="8"/>
      <c r="P416" s="8"/>
      <c r="Q416" s="8"/>
      <c r="R416" s="8"/>
      <c r="S416" s="8"/>
      <c r="T416" s="82"/>
    </row>
    <row r="417" spans="1:20" ht="13.5" customHeight="1" x14ac:dyDescent="0.25">
      <c r="A417" s="308"/>
      <c r="B417" s="308"/>
      <c r="C417" s="171" t="str">
        <f>IFERROR(VLOOKUP(C416,Списки!$E:$F,2,0)," ")</f>
        <v>PLANERNAYA ST 7</v>
      </c>
      <c r="D417" s="329"/>
      <c r="E417" s="171" t="str">
        <f>IFERROR(VLOOKUP(E416,Списки!$E:$F,2,0)," ")</f>
        <v>LEVASHOVSKOE HWY 20</v>
      </c>
      <c r="F417" s="312"/>
      <c r="G417" s="314"/>
      <c r="H417" s="315"/>
      <c r="I417" s="8"/>
      <c r="J417" s="8"/>
      <c r="K417" s="8"/>
      <c r="L417" s="8"/>
      <c r="M417" s="8"/>
      <c r="N417" s="8"/>
      <c r="O417" s="8"/>
      <c r="P417" s="8"/>
      <c r="Q417" s="8"/>
      <c r="R417" s="8"/>
      <c r="S417" s="8"/>
      <c r="T417" s="82"/>
    </row>
    <row r="418" spans="1:20" ht="13.5" customHeight="1" x14ac:dyDescent="0.25">
      <c r="A418" s="307">
        <v>4</v>
      </c>
      <c r="B418" s="307" t="s">
        <v>51</v>
      </c>
      <c r="C418" s="234" t="s">
        <v>44</v>
      </c>
      <c r="D418" s="328">
        <v>0.45833333333333331</v>
      </c>
      <c r="E418" s="234" t="s">
        <v>52</v>
      </c>
      <c r="F418" s="311">
        <v>0.46527777777777773</v>
      </c>
      <c r="G418" s="313" t="s">
        <v>378</v>
      </c>
      <c r="H418" s="315" t="s">
        <v>338</v>
      </c>
      <c r="I418" s="8"/>
      <c r="J418" s="8"/>
      <c r="K418" s="8"/>
      <c r="L418" s="8"/>
      <c r="M418" s="8"/>
      <c r="N418" s="8"/>
      <c r="O418" s="8"/>
      <c r="P418" s="8"/>
      <c r="Q418" s="8"/>
      <c r="R418" s="8"/>
      <c r="S418" s="8"/>
      <c r="T418" s="82"/>
    </row>
    <row r="419" spans="1:20" ht="13.5" customHeight="1" x14ac:dyDescent="0.25">
      <c r="A419" s="308"/>
      <c r="B419" s="308"/>
      <c r="C419" s="171" t="str">
        <f>IFERROR(VLOOKUP(C418,Списки!$E:$F,2,0)," ")</f>
        <v>LEVASHOVSKOE HWY 20</v>
      </c>
      <c r="D419" s="329"/>
      <c r="E419" s="171" t="str">
        <f>IFERROR(VLOOKUP(E418,Списки!$E:$F,2,0)," ")</f>
        <v>LEVASHOVSKOE HWY 6</v>
      </c>
      <c r="F419" s="312"/>
      <c r="G419" s="314"/>
      <c r="H419" s="315"/>
      <c r="I419" s="8"/>
      <c r="J419" s="8"/>
      <c r="K419" s="8"/>
      <c r="L419" s="8"/>
      <c r="M419" s="8"/>
      <c r="N419" s="8"/>
      <c r="O419" s="8"/>
      <c r="P419" s="8"/>
      <c r="Q419" s="8"/>
      <c r="R419" s="8"/>
      <c r="S419" s="8"/>
      <c r="T419" s="82"/>
    </row>
    <row r="420" spans="1:20" ht="13.5" customHeight="1" x14ac:dyDescent="0.25">
      <c r="A420" s="307">
        <v>5</v>
      </c>
      <c r="B420" s="307"/>
      <c r="C420" s="234" t="s">
        <v>52</v>
      </c>
      <c r="D420" s="328">
        <v>0.5</v>
      </c>
      <c r="E420" s="234" t="s">
        <v>44</v>
      </c>
      <c r="F420" s="311">
        <v>0.50694444444444442</v>
      </c>
      <c r="G420" s="313"/>
      <c r="H420" s="315" t="s">
        <v>338</v>
      </c>
      <c r="I420" s="8"/>
      <c r="J420" s="8"/>
      <c r="K420" s="8"/>
      <c r="L420" s="8"/>
      <c r="M420" s="8"/>
      <c r="N420" s="8"/>
      <c r="O420" s="8"/>
      <c r="P420" s="8"/>
      <c r="Q420" s="8"/>
      <c r="R420" s="8"/>
      <c r="S420" s="8"/>
      <c r="T420" s="82"/>
    </row>
    <row r="421" spans="1:20" ht="13.5" customHeight="1" x14ac:dyDescent="0.25">
      <c r="A421" s="308"/>
      <c r="B421" s="308"/>
      <c r="C421" s="171" t="str">
        <f>IFERROR(VLOOKUP(C420,Списки!$E:$F,2,0)," ")</f>
        <v>LEVASHOVSKOE HWY 6</v>
      </c>
      <c r="D421" s="329"/>
      <c r="E421" s="171" t="str">
        <f>IFERROR(VLOOKUP(E420,Списки!$E:$F,2,0)," ")</f>
        <v>LEVASHOVSKOE HWY 20</v>
      </c>
      <c r="F421" s="312"/>
      <c r="G421" s="314"/>
      <c r="H421" s="315"/>
      <c r="I421" s="8"/>
      <c r="J421" s="8"/>
      <c r="K421" s="8"/>
      <c r="L421" s="8"/>
      <c r="M421" s="8"/>
      <c r="N421" s="8"/>
      <c r="O421" s="8"/>
      <c r="P421" s="8"/>
      <c r="Q421" s="8"/>
      <c r="R421" s="8"/>
      <c r="S421" s="8"/>
      <c r="T421" s="82"/>
    </row>
    <row r="422" spans="1:20" ht="13.5" customHeight="1" x14ac:dyDescent="0.25">
      <c r="A422" s="307">
        <v>6</v>
      </c>
      <c r="B422" s="307" t="s">
        <v>42</v>
      </c>
      <c r="C422" s="234" t="s">
        <v>44</v>
      </c>
      <c r="D422" s="328">
        <v>0.50694444444444442</v>
      </c>
      <c r="E422" s="234" t="s">
        <v>225</v>
      </c>
      <c r="F422" s="311">
        <v>0.52083333333333337</v>
      </c>
      <c r="G422" s="313" t="s">
        <v>137</v>
      </c>
      <c r="H422" s="315">
        <v>22</v>
      </c>
      <c r="I422" s="8"/>
      <c r="J422" s="8"/>
      <c r="K422" s="8"/>
      <c r="L422" s="8"/>
      <c r="M422" s="8"/>
      <c r="N422" s="8"/>
      <c r="O422" s="8"/>
      <c r="P422" s="8"/>
      <c r="Q422" s="8"/>
      <c r="R422" s="8"/>
      <c r="S422" s="8"/>
      <c r="T422" s="82"/>
    </row>
    <row r="423" spans="1:20" ht="13.5" customHeight="1" x14ac:dyDescent="0.25">
      <c r="A423" s="308"/>
      <c r="B423" s="308"/>
      <c r="C423" s="171" t="str">
        <f>IFERROR(VLOOKUP(C422,Списки!$E:$F,2,0)," ")</f>
        <v>LEVASHOVSKOE HWY 20</v>
      </c>
      <c r="D423" s="329"/>
      <c r="E423" s="171" t="str">
        <f>IFERROR(VLOOKUP(E422,Списки!$E:$F,2,0)," ")</f>
        <v>TORZHKOVSKAYA ST 5</v>
      </c>
      <c r="F423" s="312"/>
      <c r="G423" s="314"/>
      <c r="H423" s="315"/>
      <c r="I423" s="8"/>
      <c r="J423" s="8"/>
      <c r="K423" s="8"/>
      <c r="L423" s="8"/>
      <c r="M423" s="8"/>
      <c r="N423" s="8"/>
      <c r="O423" s="8"/>
      <c r="P423" s="8"/>
      <c r="Q423" s="8"/>
      <c r="R423" s="8"/>
      <c r="S423" s="8"/>
      <c r="T423" s="82"/>
    </row>
    <row r="424" spans="1:20" ht="13.5" customHeight="1" x14ac:dyDescent="0.25">
      <c r="A424" s="307">
        <v>7</v>
      </c>
      <c r="B424" s="307"/>
      <c r="C424" s="234" t="s">
        <v>225</v>
      </c>
      <c r="D424" s="328">
        <v>0.53472222222222221</v>
      </c>
      <c r="E424" s="234" t="s">
        <v>44</v>
      </c>
      <c r="F424" s="311">
        <v>0.54861111111111105</v>
      </c>
      <c r="G424" s="313"/>
      <c r="H424" s="315">
        <v>19</v>
      </c>
      <c r="I424" s="8"/>
      <c r="J424" s="8"/>
      <c r="K424" s="8"/>
      <c r="L424" s="8"/>
      <c r="M424" s="8"/>
      <c r="N424" s="8"/>
      <c r="O424" s="8"/>
      <c r="P424" s="8"/>
      <c r="Q424" s="8"/>
      <c r="R424" s="8"/>
      <c r="S424" s="8"/>
      <c r="T424" s="82"/>
    </row>
    <row r="425" spans="1:20" ht="13.5" customHeight="1" x14ac:dyDescent="0.25">
      <c r="A425" s="308"/>
      <c r="B425" s="308"/>
      <c r="C425" s="171" t="str">
        <f>IFERROR(VLOOKUP(C424,Списки!$E:$F,2,0)," ")</f>
        <v>TORZHKOVSKAYA ST 5</v>
      </c>
      <c r="D425" s="329"/>
      <c r="E425" s="171" t="str">
        <f>IFERROR(VLOOKUP(E424,Списки!$E:$F,2,0)," ")</f>
        <v>LEVASHOVSKOE HWY 20</v>
      </c>
      <c r="F425" s="312"/>
      <c r="G425" s="314"/>
      <c r="H425" s="315"/>
      <c r="I425" s="8"/>
      <c r="J425" s="8"/>
      <c r="K425" s="8"/>
      <c r="L425" s="8"/>
      <c r="M425" s="8"/>
      <c r="N425" s="8"/>
      <c r="O425" s="8"/>
      <c r="P425" s="8"/>
      <c r="Q425" s="8"/>
      <c r="R425" s="8"/>
      <c r="S425" s="8"/>
      <c r="T425" s="82"/>
    </row>
    <row r="426" spans="1:20" ht="13.5" customHeight="1" x14ac:dyDescent="0.25">
      <c r="A426" s="307">
        <v>8</v>
      </c>
      <c r="B426" s="307" t="s">
        <v>51</v>
      </c>
      <c r="C426" s="234" t="s">
        <v>44</v>
      </c>
      <c r="D426" s="328">
        <v>0.55555555555555558</v>
      </c>
      <c r="E426" s="235" t="s">
        <v>250</v>
      </c>
      <c r="F426" s="311">
        <v>0.56944444444444442</v>
      </c>
      <c r="G426" s="313" t="s">
        <v>92</v>
      </c>
      <c r="H426" s="307">
        <v>14</v>
      </c>
      <c r="I426" s="8"/>
      <c r="J426" s="8"/>
      <c r="K426" s="8"/>
      <c r="L426" s="8"/>
      <c r="M426" s="8"/>
      <c r="N426" s="8"/>
      <c r="O426" s="8"/>
      <c r="P426" s="8"/>
      <c r="Q426" s="8"/>
      <c r="R426" s="8"/>
      <c r="S426" s="8"/>
      <c r="T426" s="82"/>
    </row>
    <row r="427" spans="1:20" ht="13.5" customHeight="1" x14ac:dyDescent="0.25">
      <c r="A427" s="308"/>
      <c r="B427" s="308"/>
      <c r="C427" s="171" t="str">
        <f>IFERROR(VLOOKUP(C426,Списки!$E:$F,2,0)," ")</f>
        <v>LEVASHOVSKOE HWY 20</v>
      </c>
      <c r="D427" s="329"/>
      <c r="E427" s="171" t="str">
        <f>IFERROR(VLOOKUP(E426,Списки!$E:$F,2,0)," ")</f>
        <v>PLANERNAYA ST 7</v>
      </c>
      <c r="F427" s="312"/>
      <c r="G427" s="314"/>
      <c r="H427" s="308"/>
      <c r="I427" s="8"/>
      <c r="J427" s="8"/>
      <c r="K427" s="8"/>
      <c r="L427" s="8"/>
      <c r="M427" s="8"/>
      <c r="N427" s="8"/>
      <c r="O427" s="8"/>
      <c r="P427" s="8"/>
      <c r="Q427" s="8"/>
      <c r="R427" s="8"/>
      <c r="S427" s="8"/>
      <c r="T427" s="82"/>
    </row>
    <row r="428" spans="1:20" ht="13.5" customHeight="1" x14ac:dyDescent="0.25">
      <c r="A428" s="307">
        <v>9</v>
      </c>
      <c r="B428" s="307" t="s">
        <v>88</v>
      </c>
      <c r="C428" s="235" t="s">
        <v>250</v>
      </c>
      <c r="D428" s="328">
        <v>0.56944444444444442</v>
      </c>
      <c r="E428" s="234" t="s">
        <v>240</v>
      </c>
      <c r="F428" s="311">
        <v>0.59027777777777779</v>
      </c>
      <c r="G428" s="313" t="s">
        <v>372</v>
      </c>
      <c r="H428" s="307">
        <v>15</v>
      </c>
      <c r="I428" s="8"/>
      <c r="J428" s="8"/>
      <c r="K428" s="8"/>
      <c r="L428" s="8"/>
      <c r="M428" s="8"/>
      <c r="N428" s="8"/>
      <c r="O428" s="8"/>
      <c r="P428" s="8"/>
      <c r="Q428" s="8"/>
      <c r="R428" s="8"/>
      <c r="S428" s="8"/>
      <c r="T428" s="82"/>
    </row>
    <row r="429" spans="1:20" ht="13.5" customHeight="1" x14ac:dyDescent="0.25">
      <c r="A429" s="308"/>
      <c r="B429" s="308"/>
      <c r="C429" s="171" t="str">
        <f>IFERROR(VLOOKUP(C428,Списки!$E:$F,2,0)," ")</f>
        <v>PLANERNAYA ST 7</v>
      </c>
      <c r="D429" s="329"/>
      <c r="E429" s="171" t="str">
        <f>IFERROR(VLOOKUP(E428,Списки!$E:$F,2,0)," ")</f>
        <v>KONNOGVARD BLVD 17</v>
      </c>
      <c r="F429" s="312"/>
      <c r="G429" s="314"/>
      <c r="H429" s="308"/>
      <c r="I429" s="8"/>
      <c r="J429" s="8"/>
      <c r="K429" s="8"/>
      <c r="L429" s="8"/>
      <c r="M429" s="8"/>
      <c r="N429" s="8"/>
      <c r="O429" s="8"/>
      <c r="P429" s="8"/>
      <c r="Q429" s="8"/>
      <c r="R429" s="8"/>
      <c r="S429" s="8"/>
      <c r="T429" s="82"/>
    </row>
    <row r="430" spans="1:20" ht="13.5" customHeight="1" x14ac:dyDescent="0.25">
      <c r="A430" s="307">
        <v>10</v>
      </c>
      <c r="B430" s="307" t="s">
        <v>82</v>
      </c>
      <c r="C430" s="234" t="s">
        <v>240</v>
      </c>
      <c r="D430" s="328">
        <v>0.61111111111111105</v>
      </c>
      <c r="E430" s="234" t="s">
        <v>229</v>
      </c>
      <c r="F430" s="311">
        <v>0.61805555555555558</v>
      </c>
      <c r="G430" s="313" t="s">
        <v>137</v>
      </c>
      <c r="H430" s="307">
        <v>2</v>
      </c>
      <c r="I430" s="8"/>
      <c r="J430" s="8"/>
      <c r="K430" s="8"/>
      <c r="L430" s="8"/>
      <c r="M430" s="8"/>
      <c r="N430" s="8"/>
      <c r="O430" s="8"/>
      <c r="P430" s="8"/>
      <c r="Q430" s="8"/>
      <c r="R430" s="8"/>
      <c r="S430" s="8"/>
      <c r="T430" s="82"/>
    </row>
    <row r="431" spans="1:20" ht="13.5" customHeight="1" x14ac:dyDescent="0.25">
      <c r="A431" s="308"/>
      <c r="B431" s="308"/>
      <c r="C431" s="171" t="str">
        <f>IFERROR(VLOOKUP(C430,Списки!$E:$F,2,0)," ")</f>
        <v>KONNOGVARD BLVD 17</v>
      </c>
      <c r="D431" s="329"/>
      <c r="E431" s="171" t="str">
        <f>IFERROR(VLOOKUP(E430,Списки!$E:$F,2,0)," ")</f>
        <v>LEYT SHMIDTA EMB 9</v>
      </c>
      <c r="F431" s="312"/>
      <c r="G431" s="314"/>
      <c r="H431" s="308"/>
      <c r="I431" s="8"/>
      <c r="J431" s="8"/>
      <c r="K431" s="8"/>
      <c r="L431" s="8"/>
      <c r="M431" s="8"/>
      <c r="N431" s="8"/>
      <c r="O431" s="8"/>
      <c r="P431" s="8"/>
      <c r="Q431" s="8"/>
      <c r="R431" s="8"/>
      <c r="S431" s="8"/>
      <c r="T431" s="82"/>
    </row>
    <row r="432" spans="1:20" ht="13.5" customHeight="1" x14ac:dyDescent="0.25">
      <c r="A432" s="307">
        <v>11</v>
      </c>
      <c r="B432" s="307" t="s">
        <v>42</v>
      </c>
      <c r="C432" s="234" t="s">
        <v>229</v>
      </c>
      <c r="D432" s="328">
        <v>0.61805555555555558</v>
      </c>
      <c r="E432" s="234" t="s">
        <v>225</v>
      </c>
      <c r="F432" s="311">
        <v>0.63888888888888895</v>
      </c>
      <c r="G432" s="313" t="s">
        <v>185</v>
      </c>
      <c r="H432" s="307">
        <v>10</v>
      </c>
      <c r="I432" s="8"/>
      <c r="J432" s="8"/>
      <c r="K432" s="8"/>
      <c r="L432" s="8"/>
      <c r="M432" s="8"/>
      <c r="N432" s="8"/>
      <c r="O432" s="8"/>
      <c r="P432" s="8"/>
      <c r="Q432" s="8"/>
      <c r="R432" s="8"/>
      <c r="S432" s="8"/>
      <c r="T432" s="82"/>
    </row>
    <row r="433" spans="1:20" ht="13.5" customHeight="1" x14ac:dyDescent="0.25">
      <c r="A433" s="308"/>
      <c r="B433" s="308"/>
      <c r="C433" s="171" t="str">
        <f>IFERROR(VLOOKUP(C432,Списки!$E:$F,2,0)," ")</f>
        <v>LEYT SHMIDTA EMB 9</v>
      </c>
      <c r="D433" s="329"/>
      <c r="E433" s="171" t="str">
        <f>IFERROR(VLOOKUP(E432,Списки!$E:$F,2,0)," ")</f>
        <v>TORZHKOVSKAYA ST 5</v>
      </c>
      <c r="F433" s="312"/>
      <c r="G433" s="314"/>
      <c r="H433" s="308"/>
      <c r="I433" s="8"/>
      <c r="J433" s="8"/>
      <c r="K433" s="8"/>
      <c r="L433" s="8"/>
      <c r="M433" s="8"/>
      <c r="N433" s="8"/>
      <c r="O433" s="8"/>
      <c r="P433" s="8"/>
      <c r="Q433" s="8"/>
      <c r="R433" s="8"/>
      <c r="S433" s="8"/>
      <c r="T433" s="82"/>
    </row>
    <row r="434" spans="1:20" ht="13.5" customHeight="1" x14ac:dyDescent="0.25">
      <c r="A434" s="307">
        <v>12</v>
      </c>
      <c r="B434" s="307"/>
      <c r="C434" s="234" t="s">
        <v>225</v>
      </c>
      <c r="D434" s="328">
        <v>0.65277777777777779</v>
      </c>
      <c r="E434" s="234" t="s">
        <v>44</v>
      </c>
      <c r="F434" s="311">
        <v>0.6875</v>
      </c>
      <c r="G434" s="313"/>
      <c r="H434" s="307">
        <v>19</v>
      </c>
      <c r="I434" s="8"/>
      <c r="J434" s="8"/>
      <c r="K434" s="8"/>
      <c r="L434" s="8"/>
      <c r="M434" s="8"/>
      <c r="N434" s="8"/>
      <c r="O434" s="8"/>
      <c r="P434" s="8"/>
      <c r="Q434" s="8"/>
      <c r="R434" s="8"/>
      <c r="S434" s="8"/>
      <c r="T434" s="82"/>
    </row>
    <row r="435" spans="1:20" ht="13.5" customHeight="1" x14ac:dyDescent="0.25">
      <c r="A435" s="308"/>
      <c r="B435" s="308"/>
      <c r="C435" s="171" t="str">
        <f>IFERROR(VLOOKUP(C434,Списки!$E:$F,2,0)," ")</f>
        <v>TORZHKOVSKAYA ST 5</v>
      </c>
      <c r="D435" s="329"/>
      <c r="E435" s="171" t="str">
        <f>IFERROR(VLOOKUP(E434,Списки!$E:$F,2,0)," ")</f>
        <v>LEVASHOVSKOE HWY 20</v>
      </c>
      <c r="F435" s="312"/>
      <c r="G435" s="314"/>
      <c r="H435" s="308"/>
      <c r="I435" s="8"/>
      <c r="J435" s="8"/>
      <c r="K435" s="8"/>
      <c r="L435" s="8"/>
      <c r="M435" s="8"/>
      <c r="N435" s="8"/>
      <c r="O435" s="8"/>
      <c r="P435" s="8"/>
      <c r="Q435" s="8"/>
      <c r="R435" s="8"/>
      <c r="S435" s="8"/>
      <c r="T435" s="82"/>
    </row>
    <row r="436" spans="1:20" ht="13.5" customHeight="1" x14ac:dyDescent="0.25">
      <c r="A436" s="307">
        <v>13</v>
      </c>
      <c r="B436" s="307" t="s">
        <v>140</v>
      </c>
      <c r="C436" s="234" t="s">
        <v>44</v>
      </c>
      <c r="D436" s="328">
        <v>0.74305555555555547</v>
      </c>
      <c r="E436" s="234" t="s">
        <v>212</v>
      </c>
      <c r="F436" s="311">
        <v>0.76041666666666663</v>
      </c>
      <c r="G436" s="313"/>
      <c r="H436" s="307">
        <v>24</v>
      </c>
      <c r="I436" s="8"/>
      <c r="J436" s="8"/>
      <c r="K436" s="8"/>
      <c r="L436" s="8"/>
      <c r="M436" s="8"/>
      <c r="N436" s="8"/>
      <c r="O436" s="8"/>
      <c r="P436" s="8"/>
      <c r="Q436" s="8"/>
      <c r="R436" s="8"/>
      <c r="S436" s="8"/>
      <c r="T436" s="82"/>
    </row>
    <row r="437" spans="1:20" ht="13.5" customHeight="1" x14ac:dyDescent="0.25">
      <c r="A437" s="308"/>
      <c r="B437" s="308"/>
      <c r="C437" s="171" t="str">
        <f>IFERROR(VLOOKUP(C436,Списки!$E:$F,2,0)," ")</f>
        <v>LEVASHOVSKOE HWY 20</v>
      </c>
      <c r="D437" s="329"/>
      <c r="E437" s="171" t="str">
        <f>IFERROR(VLOOKUP(E436,Списки!$E:$F,2,0)," ")</f>
        <v>GOROKHOVAYA ST 3</v>
      </c>
      <c r="F437" s="312"/>
      <c r="G437" s="314"/>
      <c r="H437" s="308"/>
      <c r="I437" s="8"/>
      <c r="J437" s="8"/>
      <c r="K437" s="8"/>
      <c r="L437" s="8"/>
      <c r="M437" s="8"/>
      <c r="N437" s="8"/>
      <c r="O437" s="8"/>
      <c r="P437" s="8"/>
      <c r="Q437" s="8"/>
      <c r="R437" s="8"/>
      <c r="S437" s="8"/>
      <c r="T437" s="82"/>
    </row>
    <row r="438" spans="1:20" ht="13.5" customHeight="1" x14ac:dyDescent="0.25">
      <c r="A438" s="307">
        <v>14</v>
      </c>
      <c r="B438" s="307"/>
      <c r="C438" s="234" t="s">
        <v>212</v>
      </c>
      <c r="D438" s="328">
        <v>0.76041666666666663</v>
      </c>
      <c r="E438" s="234" t="s">
        <v>45</v>
      </c>
      <c r="F438" s="311">
        <v>0.78819444444444453</v>
      </c>
      <c r="G438" s="313"/>
      <c r="H438" s="307">
        <v>16</v>
      </c>
      <c r="I438" s="8"/>
      <c r="J438" s="8"/>
      <c r="K438" s="8"/>
      <c r="L438" s="8"/>
      <c r="M438" s="8"/>
      <c r="N438" s="8"/>
      <c r="O438" s="8"/>
      <c r="P438" s="8"/>
      <c r="Q438" s="8"/>
      <c r="R438" s="8"/>
      <c r="S438" s="8"/>
      <c r="T438" s="82"/>
    </row>
    <row r="439" spans="1:20" ht="13.5" customHeight="1" x14ac:dyDescent="0.25">
      <c r="A439" s="308"/>
      <c r="B439" s="308"/>
      <c r="C439" s="171" t="str">
        <f>IFERROR(VLOOKUP(C438,Списки!$E:$F,2,0)," ")</f>
        <v>GOROKHOVAYA ST 3</v>
      </c>
      <c r="D439" s="329"/>
      <c r="E439" s="171" t="str">
        <f>IFERROR(VLOOKUP(E438,Списки!$E:$F,2,0)," ")</f>
        <v>SAVUSHKINA ST 128</v>
      </c>
      <c r="F439" s="312"/>
      <c r="G439" s="314"/>
      <c r="H439" s="308"/>
      <c r="I439" s="8"/>
      <c r="J439" s="8"/>
      <c r="K439" s="8"/>
      <c r="L439" s="8"/>
      <c r="M439" s="8"/>
      <c r="N439" s="8"/>
      <c r="O439" s="8"/>
      <c r="P439" s="8"/>
      <c r="Q439" s="8"/>
      <c r="R439" s="8"/>
      <c r="S439" s="8"/>
      <c r="T439" s="82"/>
    </row>
    <row r="440" spans="1:20" ht="13.5" customHeight="1" x14ac:dyDescent="0.25">
      <c r="A440" s="307">
        <v>15</v>
      </c>
      <c r="B440" s="307"/>
      <c r="C440" s="170"/>
      <c r="D440" s="309"/>
      <c r="E440" s="170"/>
      <c r="F440" s="311"/>
      <c r="G440" s="313"/>
      <c r="H440" s="315"/>
      <c r="I440" s="8"/>
      <c r="J440" s="8"/>
      <c r="K440" s="8"/>
      <c r="L440" s="8"/>
      <c r="M440" s="8"/>
      <c r="N440" s="8"/>
      <c r="O440" s="8"/>
      <c r="P440" s="8"/>
      <c r="Q440" s="8"/>
      <c r="R440" s="8"/>
      <c r="S440" s="8"/>
      <c r="T440" s="82"/>
    </row>
    <row r="441" spans="1:20" ht="13.5" customHeight="1" x14ac:dyDescent="0.25">
      <c r="A441" s="308"/>
      <c r="B441" s="308"/>
      <c r="C441" s="171" t="str">
        <f>IFERROR(VLOOKUP(C440,Списки!$E:$F,2,0)," ")</f>
        <v xml:space="preserve"> </v>
      </c>
      <c r="D441" s="310"/>
      <c r="E441" s="171" t="str">
        <f>IFERROR(VLOOKUP(E440,Списки!$E:$F,2,0)," ")</f>
        <v xml:space="preserve"> </v>
      </c>
      <c r="F441" s="312"/>
      <c r="G441" s="314"/>
      <c r="H441" s="315"/>
      <c r="I441" s="8"/>
      <c r="J441" s="8"/>
      <c r="K441" s="8"/>
      <c r="L441" s="8"/>
      <c r="M441" s="8"/>
      <c r="N441" s="8"/>
      <c r="O441" s="8"/>
      <c r="P441" s="8"/>
      <c r="Q441" s="8"/>
      <c r="R441" s="8"/>
      <c r="S441" s="8"/>
      <c r="T441" s="82"/>
    </row>
    <row r="442" spans="1:20" x14ac:dyDescent="0.25">
      <c r="A442" s="36"/>
      <c r="B442" s="37"/>
      <c r="C442" s="173"/>
      <c r="D442" s="173"/>
      <c r="E442" s="174" t="s">
        <v>30</v>
      </c>
      <c r="F442" s="39">
        <f>IFERROR(SUM(IFERROR(IF((LOOKUP(9E+307,F412:F441))&gt;$M$39,(LOOKUP(9E+307,F412:F441))-$M$39,IF((LOOKUP(9E+307,F412:F441))&lt;0.166666667,0+(LOOKUP(9E+307,F412:F441))+1-$M$39,0)),0),(IF(AND(IF(D412,$M$38-D412,0)&gt;0,F412,F412&gt;D412),$M$38-D412,IF(AND(D412,F412,D412&gt;F412),"error",0)))),"ОШИБКА")</f>
        <v>7.986111111111116E-2</v>
      </c>
      <c r="G442" s="40" t="s">
        <v>27</v>
      </c>
      <c r="H442" s="206">
        <f>SUM(H412:H441)</f>
        <v>188</v>
      </c>
      <c r="I442" s="8"/>
      <c r="J442" s="8"/>
      <c r="K442" s="8"/>
      <c r="L442" s="8"/>
      <c r="M442" s="8"/>
      <c r="N442" s="8"/>
      <c r="O442" s="8"/>
      <c r="P442" s="8"/>
      <c r="Q442" s="8"/>
      <c r="R442" s="8"/>
      <c r="S442" s="8"/>
      <c r="T442" s="82"/>
    </row>
    <row r="443" spans="1:20" ht="15.75" x14ac:dyDescent="0.25">
      <c r="A443" s="316">
        <f>DATE(K1,J1,14)</f>
        <v>43844</v>
      </c>
      <c r="B443" s="316"/>
      <c r="C443" s="316"/>
      <c r="D443" s="316"/>
      <c r="E443" s="316"/>
      <c r="F443" s="316"/>
      <c r="G443" s="316"/>
      <c r="H443" s="316"/>
      <c r="I443" s="8"/>
      <c r="J443" s="8"/>
      <c r="K443" s="8"/>
      <c r="L443" s="8"/>
      <c r="M443" s="8"/>
      <c r="N443" s="8"/>
      <c r="O443" s="8"/>
      <c r="P443" s="8"/>
      <c r="Q443" s="8"/>
      <c r="R443" s="8"/>
      <c r="S443" s="8"/>
      <c r="T443" s="82"/>
    </row>
    <row r="444" spans="1:20" ht="13.5" customHeight="1" x14ac:dyDescent="0.25">
      <c r="A444" s="318"/>
      <c r="B444" s="320" t="s">
        <v>34</v>
      </c>
      <c r="C444" s="205" t="s">
        <v>39</v>
      </c>
      <c r="D444" s="322" t="s">
        <v>36</v>
      </c>
      <c r="E444" s="205" t="s">
        <v>37</v>
      </c>
      <c r="F444" s="320" t="s">
        <v>36</v>
      </c>
      <c r="G444" s="324" t="s">
        <v>35</v>
      </c>
      <c r="H444" s="315" t="s">
        <v>40</v>
      </c>
      <c r="I444" s="8"/>
      <c r="J444" s="8"/>
      <c r="K444" s="8"/>
      <c r="L444" s="8"/>
      <c r="M444" s="8"/>
      <c r="N444" s="8"/>
      <c r="O444" s="8"/>
      <c r="P444" s="8"/>
      <c r="Q444" s="8"/>
      <c r="R444" s="8"/>
      <c r="S444" s="8"/>
      <c r="T444" s="82"/>
    </row>
    <row r="445" spans="1:20" ht="13.5" customHeight="1" x14ac:dyDescent="0.25">
      <c r="A445" s="319"/>
      <c r="B445" s="321"/>
      <c r="C445" s="204" t="s">
        <v>38</v>
      </c>
      <c r="D445" s="323"/>
      <c r="E445" s="204" t="s">
        <v>38</v>
      </c>
      <c r="F445" s="321"/>
      <c r="G445" s="325"/>
      <c r="H445" s="315"/>
      <c r="I445" s="8"/>
      <c r="J445" s="8"/>
      <c r="K445" s="8"/>
      <c r="L445" s="8"/>
      <c r="M445" s="8"/>
      <c r="N445" s="8"/>
      <c r="O445" s="8"/>
      <c r="P445" s="8"/>
      <c r="Q445" s="8"/>
      <c r="R445" s="8"/>
      <c r="S445" s="8"/>
      <c r="T445" s="82"/>
    </row>
    <row r="446" spans="1:20" ht="13.5" customHeight="1" x14ac:dyDescent="0.25">
      <c r="A446" s="307">
        <v>1</v>
      </c>
      <c r="B446" s="307" t="s">
        <v>140</v>
      </c>
      <c r="C446" s="231" t="s">
        <v>43</v>
      </c>
      <c r="D446" s="326">
        <v>0.2638888888888889</v>
      </c>
      <c r="E446" s="231" t="s">
        <v>56</v>
      </c>
      <c r="F446" s="326">
        <v>0.27777777777777779</v>
      </c>
      <c r="G446" s="307"/>
      <c r="H446" s="307">
        <v>11</v>
      </c>
      <c r="I446" s="8"/>
      <c r="J446" s="8"/>
      <c r="K446" s="8"/>
      <c r="L446" s="8"/>
      <c r="M446" s="8"/>
      <c r="N446" s="8"/>
      <c r="O446" s="8"/>
      <c r="P446" s="8"/>
      <c r="Q446" s="8"/>
      <c r="R446" s="8"/>
      <c r="S446" s="8"/>
      <c r="T446" s="82"/>
    </row>
    <row r="447" spans="1:20" ht="13.5" customHeight="1" x14ac:dyDescent="0.25">
      <c r="A447" s="308"/>
      <c r="B447" s="308"/>
      <c r="C447" s="232" t="s">
        <v>301</v>
      </c>
      <c r="D447" s="327"/>
      <c r="E447" s="233" t="s">
        <v>299</v>
      </c>
      <c r="F447" s="327"/>
      <c r="G447" s="308"/>
      <c r="H447" s="308"/>
      <c r="I447" s="8"/>
      <c r="J447" s="8"/>
      <c r="K447" s="8"/>
      <c r="L447" s="8"/>
      <c r="M447" s="8"/>
      <c r="N447" s="8"/>
      <c r="O447" s="8"/>
      <c r="P447" s="8"/>
      <c r="Q447" s="8"/>
      <c r="R447" s="8"/>
      <c r="S447" s="8"/>
      <c r="T447" s="82"/>
    </row>
    <row r="448" spans="1:20" ht="13.5" customHeight="1" x14ac:dyDescent="0.25">
      <c r="A448" s="307">
        <v>2</v>
      </c>
      <c r="B448" s="307"/>
      <c r="C448" s="231" t="s">
        <v>56</v>
      </c>
      <c r="D448" s="326">
        <v>0.28125</v>
      </c>
      <c r="E448" s="231" t="s">
        <v>58</v>
      </c>
      <c r="F448" s="326">
        <v>0.29166666666666669</v>
      </c>
      <c r="G448" s="307"/>
      <c r="H448" s="307">
        <v>3</v>
      </c>
      <c r="I448" s="8"/>
      <c r="J448" s="8"/>
      <c r="K448" s="8"/>
      <c r="L448" s="8"/>
      <c r="M448" s="8"/>
      <c r="N448" s="8"/>
      <c r="O448" s="8"/>
      <c r="P448" s="8"/>
      <c r="Q448" s="8"/>
      <c r="R448" s="8"/>
      <c r="S448" s="8"/>
      <c r="T448" s="82"/>
    </row>
    <row r="449" spans="1:20" ht="13.5" customHeight="1" x14ac:dyDescent="0.25">
      <c r="A449" s="308"/>
      <c r="B449" s="308"/>
      <c r="C449" s="233" t="s">
        <v>299</v>
      </c>
      <c r="D449" s="327"/>
      <c r="E449" s="232" t="s">
        <v>300</v>
      </c>
      <c r="F449" s="327"/>
      <c r="G449" s="308"/>
      <c r="H449" s="308"/>
      <c r="I449" s="8"/>
      <c r="J449" s="8"/>
      <c r="K449" s="8"/>
      <c r="L449" s="8"/>
      <c r="M449" s="8"/>
      <c r="N449" s="8"/>
      <c r="O449" s="8"/>
      <c r="P449" s="8"/>
      <c r="Q449" s="8"/>
      <c r="R449" s="8"/>
      <c r="S449" s="8"/>
      <c r="T449" s="82"/>
    </row>
    <row r="450" spans="1:20" ht="13.5" customHeight="1" x14ac:dyDescent="0.25">
      <c r="A450" s="307">
        <v>3</v>
      </c>
      <c r="B450" s="307"/>
      <c r="C450" s="231" t="s">
        <v>58</v>
      </c>
      <c r="D450" s="326">
        <v>0.29166666666666669</v>
      </c>
      <c r="E450" s="231" t="s">
        <v>44</v>
      </c>
      <c r="F450" s="326">
        <v>0.30555555555555552</v>
      </c>
      <c r="G450" s="307"/>
      <c r="H450" s="307">
        <v>23</v>
      </c>
      <c r="I450" s="8"/>
      <c r="J450" s="8"/>
      <c r="K450" s="8"/>
      <c r="L450" s="8"/>
      <c r="M450" s="8"/>
      <c r="N450" s="8"/>
      <c r="O450" s="8"/>
      <c r="P450" s="8"/>
      <c r="Q450" s="8"/>
      <c r="R450" s="8"/>
      <c r="S450" s="8"/>
      <c r="T450" s="82"/>
    </row>
    <row r="451" spans="1:20" ht="13.5" customHeight="1" x14ac:dyDescent="0.25">
      <c r="A451" s="308"/>
      <c r="B451" s="308"/>
      <c r="C451" s="232" t="s">
        <v>300</v>
      </c>
      <c r="D451" s="327"/>
      <c r="E451" s="232" t="s">
        <v>297</v>
      </c>
      <c r="F451" s="327"/>
      <c r="G451" s="308"/>
      <c r="H451" s="308"/>
      <c r="I451" s="8"/>
      <c r="J451" s="8"/>
      <c r="K451" s="8"/>
      <c r="L451" s="8"/>
      <c r="M451" s="8"/>
      <c r="N451" s="8"/>
      <c r="O451" s="8"/>
      <c r="P451" s="8"/>
      <c r="Q451" s="8"/>
      <c r="R451" s="8"/>
      <c r="S451" s="8"/>
      <c r="T451" s="82"/>
    </row>
    <row r="452" spans="1:20" ht="13.5" customHeight="1" x14ac:dyDescent="0.25">
      <c r="A452" s="307">
        <v>4</v>
      </c>
      <c r="B452" s="307" t="s">
        <v>51</v>
      </c>
      <c r="C452" s="239" t="s">
        <v>44</v>
      </c>
      <c r="D452" s="309">
        <v>0.35416666666666669</v>
      </c>
      <c r="E452" s="239" t="s">
        <v>381</v>
      </c>
      <c r="F452" s="311">
        <v>0.375</v>
      </c>
      <c r="G452" s="313" t="s">
        <v>388</v>
      </c>
      <c r="H452" s="315" t="s">
        <v>338</v>
      </c>
      <c r="I452" s="8"/>
      <c r="J452" s="8"/>
      <c r="K452" s="8"/>
      <c r="L452" s="8"/>
      <c r="M452" s="8"/>
      <c r="N452" s="8"/>
      <c r="O452" s="8"/>
      <c r="P452" s="8"/>
      <c r="Q452" s="8"/>
      <c r="R452" s="8"/>
      <c r="S452" s="8"/>
      <c r="T452" s="82"/>
    </row>
    <row r="453" spans="1:20" ht="13.5" customHeight="1" x14ac:dyDescent="0.25">
      <c r="A453" s="308"/>
      <c r="B453" s="308"/>
      <c r="C453" s="171" t="str">
        <f>IFERROR(VLOOKUP(C452,Списки!$E:$F,2,0)," ")</f>
        <v>LEVASHOVSKOE HWY 20</v>
      </c>
      <c r="D453" s="310"/>
      <c r="E453" s="171" t="str">
        <f>IFERROR(VLOOKUP(E452,Списки!$E:$F,2,0)," ")</f>
        <v>RUSTAVELI ST 53/1</v>
      </c>
      <c r="F453" s="312"/>
      <c r="G453" s="314"/>
      <c r="H453" s="315"/>
      <c r="I453" s="8"/>
      <c r="J453" s="8"/>
      <c r="K453" s="8"/>
      <c r="L453" s="8"/>
      <c r="M453" s="8"/>
      <c r="N453" s="8"/>
      <c r="O453" s="8"/>
      <c r="P453" s="8"/>
      <c r="Q453" s="8"/>
      <c r="R453" s="8"/>
      <c r="S453" s="8"/>
      <c r="T453" s="82"/>
    </row>
    <row r="454" spans="1:20" ht="13.5" customHeight="1" x14ac:dyDescent="0.25">
      <c r="A454" s="307">
        <v>5</v>
      </c>
      <c r="B454" s="307"/>
      <c r="C454" s="239" t="s">
        <v>381</v>
      </c>
      <c r="D454" s="309">
        <v>0.4375</v>
      </c>
      <c r="E454" s="240" t="s">
        <v>44</v>
      </c>
      <c r="F454" s="311">
        <v>0.45833333333333331</v>
      </c>
      <c r="G454" s="313"/>
      <c r="H454" s="315" t="s">
        <v>338</v>
      </c>
      <c r="I454" s="8"/>
      <c r="J454" s="8"/>
      <c r="K454" s="8"/>
      <c r="L454" s="8"/>
      <c r="M454" s="8"/>
      <c r="N454" s="8"/>
      <c r="O454" s="8"/>
      <c r="P454" s="8"/>
      <c r="Q454" s="8"/>
      <c r="R454" s="8"/>
      <c r="S454" s="8"/>
      <c r="T454" s="82"/>
    </row>
    <row r="455" spans="1:20" ht="13.5" customHeight="1" x14ac:dyDescent="0.25">
      <c r="A455" s="308"/>
      <c r="B455" s="308"/>
      <c r="C455" s="171" t="str">
        <f>IFERROR(VLOOKUP(C454,Списки!$E:$F,2,0)," ")</f>
        <v>RUSTAVELI ST 53/1</v>
      </c>
      <c r="D455" s="310"/>
      <c r="E455" s="172" t="str">
        <f>IFERROR(VLOOKUP(E454,Списки!$E:$F,2,0)," ")</f>
        <v>LEVASHOVSKOE HWY 20</v>
      </c>
      <c r="F455" s="312"/>
      <c r="G455" s="314"/>
      <c r="H455" s="315"/>
      <c r="I455" s="8"/>
      <c r="J455" s="8"/>
      <c r="K455" s="8"/>
      <c r="L455" s="8"/>
      <c r="M455" s="8"/>
      <c r="N455" s="8"/>
      <c r="O455" s="8"/>
      <c r="P455" s="8"/>
      <c r="Q455" s="8"/>
      <c r="R455" s="8"/>
      <c r="S455" s="8"/>
      <c r="T455" s="82"/>
    </row>
    <row r="456" spans="1:20" ht="13.5" customHeight="1" x14ac:dyDescent="0.25">
      <c r="A456" s="307">
        <v>6</v>
      </c>
      <c r="B456" s="307" t="s">
        <v>42</v>
      </c>
      <c r="C456" s="240" t="s">
        <v>44</v>
      </c>
      <c r="D456" s="309">
        <v>0.47222222222222227</v>
      </c>
      <c r="E456" s="239" t="s">
        <v>266</v>
      </c>
      <c r="F456" s="311">
        <v>0.49305555555555558</v>
      </c>
      <c r="G456" s="313" t="s">
        <v>213</v>
      </c>
      <c r="H456" s="315">
        <v>34</v>
      </c>
      <c r="I456" s="8"/>
      <c r="J456" s="8"/>
      <c r="K456" s="8"/>
      <c r="L456" s="8"/>
      <c r="M456" s="8"/>
      <c r="N456" s="8"/>
      <c r="O456" s="8"/>
      <c r="P456" s="8"/>
      <c r="Q456" s="8"/>
      <c r="R456" s="8"/>
      <c r="S456" s="8"/>
      <c r="T456" s="82"/>
    </row>
    <row r="457" spans="1:20" ht="13.5" customHeight="1" x14ac:dyDescent="0.25">
      <c r="A457" s="308"/>
      <c r="B457" s="308"/>
      <c r="C457" s="171" t="str">
        <f>IFERROR(VLOOKUP(C456,Списки!$E:$F,2,0)," ")</f>
        <v>LEVASHOVSKOE HWY 20</v>
      </c>
      <c r="D457" s="310"/>
      <c r="E457" s="179" t="str">
        <f>IFERROR(VLOOKUP(E456,Списки!$E:$F,2,0)," ")</f>
        <v>MAL MITROFANYEVSKAYA 1</v>
      </c>
      <c r="F457" s="312"/>
      <c r="G457" s="314"/>
      <c r="H457" s="315"/>
      <c r="I457" s="8"/>
      <c r="J457" s="8"/>
      <c r="K457" s="8"/>
      <c r="L457" s="8"/>
      <c r="M457" s="8"/>
      <c r="N457" s="8"/>
      <c r="O457" s="8"/>
      <c r="P457" s="8"/>
      <c r="Q457" s="8"/>
      <c r="R457" s="8"/>
      <c r="S457" s="8"/>
      <c r="T457" s="82"/>
    </row>
    <row r="458" spans="1:20" ht="13.5" customHeight="1" x14ac:dyDescent="0.25">
      <c r="A458" s="307">
        <v>7</v>
      </c>
      <c r="B458" s="307" t="s">
        <v>135</v>
      </c>
      <c r="C458" s="239" t="s">
        <v>266</v>
      </c>
      <c r="D458" s="309">
        <v>0.50694444444444442</v>
      </c>
      <c r="E458" s="239" t="s">
        <v>257</v>
      </c>
      <c r="F458" s="311">
        <v>0.52777777777777779</v>
      </c>
      <c r="G458" s="313" t="s">
        <v>185</v>
      </c>
      <c r="H458" s="315">
        <v>9</v>
      </c>
      <c r="I458" s="8"/>
      <c r="J458" s="8"/>
      <c r="K458" s="8"/>
      <c r="L458" s="8"/>
      <c r="M458" s="8"/>
      <c r="N458" s="8"/>
      <c r="O458" s="8"/>
      <c r="P458" s="8"/>
      <c r="Q458" s="8"/>
      <c r="R458" s="8"/>
      <c r="S458" s="8"/>
      <c r="T458" s="82"/>
    </row>
    <row r="459" spans="1:20" ht="13.5" customHeight="1" x14ac:dyDescent="0.25">
      <c r="A459" s="308"/>
      <c r="B459" s="308"/>
      <c r="C459" s="179" t="str">
        <f>IFERROR(VLOOKUP(C458,Списки!$E:$F,2,0)," ")</f>
        <v>MAL MITROFANYEVSKAYA 1</v>
      </c>
      <c r="D459" s="310"/>
      <c r="E459" s="171" t="str">
        <f>IFERROR(VLOOKUP(E458,Списки!$E:$F,2,0)," ")</f>
        <v>SINOPSKAYA EMB  22</v>
      </c>
      <c r="F459" s="312"/>
      <c r="G459" s="314"/>
      <c r="H459" s="315"/>
      <c r="I459" s="8"/>
      <c r="J459" s="8"/>
      <c r="K459" s="8"/>
      <c r="L459" s="8"/>
      <c r="M459" s="8"/>
      <c r="N459" s="8"/>
      <c r="O459" s="8"/>
      <c r="P459" s="8"/>
      <c r="Q459" s="8"/>
      <c r="R459" s="8"/>
      <c r="S459" s="8"/>
      <c r="T459" s="82"/>
    </row>
    <row r="460" spans="1:20" ht="13.5" customHeight="1" x14ac:dyDescent="0.25">
      <c r="A460" s="307">
        <v>8</v>
      </c>
      <c r="B460" s="307" t="s">
        <v>82</v>
      </c>
      <c r="C460" s="239" t="s">
        <v>257</v>
      </c>
      <c r="D460" s="309">
        <v>0.54166666666666663</v>
      </c>
      <c r="E460" s="239" t="s">
        <v>229</v>
      </c>
      <c r="F460" s="311">
        <v>0.55555555555555558</v>
      </c>
      <c r="G460" s="313" t="s">
        <v>137</v>
      </c>
      <c r="H460" s="315">
        <v>11</v>
      </c>
      <c r="I460" s="8"/>
      <c r="J460" s="8"/>
      <c r="K460" s="8"/>
      <c r="L460" s="8"/>
      <c r="M460" s="8"/>
      <c r="N460" s="8"/>
      <c r="O460" s="8"/>
      <c r="P460" s="8"/>
      <c r="Q460" s="8"/>
      <c r="R460" s="8"/>
      <c r="S460" s="8"/>
      <c r="T460" s="82"/>
    </row>
    <row r="461" spans="1:20" ht="13.5" customHeight="1" x14ac:dyDescent="0.25">
      <c r="A461" s="308"/>
      <c r="B461" s="308"/>
      <c r="C461" s="179" t="str">
        <f>IFERROR(VLOOKUP(C460,Списки!$E:$F,2,0)," ")</f>
        <v>SINOPSKAYA EMB  22</v>
      </c>
      <c r="D461" s="310"/>
      <c r="E461" s="171" t="str">
        <f>IFERROR(VLOOKUP(E460,Списки!$E:$F,2,0)," ")</f>
        <v>LEYT SHMIDTA EMB 9</v>
      </c>
      <c r="F461" s="312"/>
      <c r="G461" s="314"/>
      <c r="H461" s="315"/>
      <c r="I461" s="8"/>
      <c r="J461" s="8"/>
      <c r="K461" s="8"/>
      <c r="L461" s="8"/>
      <c r="M461" s="8"/>
      <c r="N461" s="8"/>
      <c r="O461" s="8"/>
      <c r="P461" s="8"/>
      <c r="Q461" s="8"/>
      <c r="R461" s="8"/>
      <c r="S461" s="8"/>
      <c r="T461" s="82"/>
    </row>
    <row r="462" spans="1:20" ht="13.5" customHeight="1" x14ac:dyDescent="0.25">
      <c r="A462" s="307">
        <v>9</v>
      </c>
      <c r="B462" s="307" t="s">
        <v>51</v>
      </c>
      <c r="C462" s="239" t="s">
        <v>229</v>
      </c>
      <c r="D462" s="309">
        <v>0.5625</v>
      </c>
      <c r="E462" s="239" t="s">
        <v>382</v>
      </c>
      <c r="F462" s="311">
        <v>0.58333333333333337</v>
      </c>
      <c r="G462" s="313" t="s">
        <v>185</v>
      </c>
      <c r="H462" s="315">
        <v>6</v>
      </c>
      <c r="I462" s="8"/>
      <c r="J462" s="8"/>
      <c r="K462" s="8"/>
      <c r="L462" s="8"/>
      <c r="M462" s="8"/>
      <c r="N462" s="8"/>
      <c r="O462" s="8"/>
      <c r="P462" s="8"/>
      <c r="Q462" s="8"/>
      <c r="R462" s="8"/>
      <c r="S462" s="8"/>
      <c r="T462" s="82"/>
    </row>
    <row r="463" spans="1:20" ht="13.5" customHeight="1" x14ac:dyDescent="0.25">
      <c r="A463" s="308"/>
      <c r="B463" s="308"/>
      <c r="C463" s="171" t="str">
        <f>IFERROR(VLOOKUP(C462,Списки!$E:$F,2,0)," ")</f>
        <v>LEYT SHMIDTA EMB 9</v>
      </c>
      <c r="D463" s="310"/>
      <c r="E463" s="171" t="str">
        <f>IFERROR(VLOOKUP(E462,Списки!$E:$F,2,0)," ")</f>
        <v>MEDIKOV AVE 5B</v>
      </c>
      <c r="F463" s="312"/>
      <c r="G463" s="314"/>
      <c r="H463" s="315"/>
      <c r="I463" s="8"/>
      <c r="J463" s="8"/>
      <c r="K463" s="8"/>
      <c r="L463" s="8"/>
      <c r="M463" s="8"/>
      <c r="N463" s="8"/>
      <c r="O463" s="8"/>
      <c r="P463" s="8"/>
      <c r="Q463" s="8"/>
      <c r="R463" s="8"/>
      <c r="S463" s="8"/>
      <c r="T463" s="82"/>
    </row>
    <row r="464" spans="1:20" ht="13.5" customHeight="1" x14ac:dyDescent="0.25">
      <c r="A464" s="307">
        <v>10</v>
      </c>
      <c r="B464" s="307" t="s">
        <v>135</v>
      </c>
      <c r="C464" s="239" t="s">
        <v>382</v>
      </c>
      <c r="D464" s="309">
        <v>0.59722222222222221</v>
      </c>
      <c r="E464" s="239" t="s">
        <v>48</v>
      </c>
      <c r="F464" s="311">
        <v>0.61805555555555558</v>
      </c>
      <c r="G464" s="313" t="s">
        <v>109</v>
      </c>
      <c r="H464" s="315">
        <v>9</v>
      </c>
      <c r="I464" s="8"/>
      <c r="J464" s="8"/>
      <c r="K464" s="8"/>
      <c r="L464" s="8"/>
      <c r="M464" s="8"/>
      <c r="N464" s="8"/>
      <c r="O464" s="8"/>
      <c r="P464" s="8"/>
      <c r="Q464" s="8"/>
      <c r="R464" s="8"/>
      <c r="S464" s="8"/>
      <c r="T464" s="82"/>
    </row>
    <row r="465" spans="1:20" ht="13.5" customHeight="1" x14ac:dyDescent="0.25">
      <c r="A465" s="308"/>
      <c r="B465" s="308"/>
      <c r="C465" s="171" t="str">
        <f>IFERROR(VLOOKUP(C464,Списки!$E:$F,2,0)," ")</f>
        <v>MEDIKOV AVE 5B</v>
      </c>
      <c r="D465" s="310"/>
      <c r="E465" s="171" t="str">
        <f>IFERROR(VLOOKUP(E464,Списки!$E:$F,2,0)," ")</f>
        <v>SHKOLNAYA ST 108</v>
      </c>
      <c r="F465" s="312"/>
      <c r="G465" s="314"/>
      <c r="H465" s="315"/>
      <c r="I465" s="8"/>
      <c r="J465" s="8"/>
      <c r="K465" s="8"/>
      <c r="L465" s="8"/>
      <c r="M465" s="8"/>
      <c r="N465" s="8"/>
      <c r="O465" s="8"/>
      <c r="P465" s="8"/>
      <c r="Q465" s="8"/>
      <c r="R465" s="8"/>
      <c r="S465" s="8"/>
      <c r="T465" s="82"/>
    </row>
    <row r="466" spans="1:20" ht="13.5" customHeight="1" x14ac:dyDescent="0.25">
      <c r="A466" s="307">
        <v>11</v>
      </c>
      <c r="B466" s="307" t="s">
        <v>83</v>
      </c>
      <c r="C466" s="239" t="s">
        <v>48</v>
      </c>
      <c r="D466" s="309">
        <v>0.63194444444444442</v>
      </c>
      <c r="E466" s="239" t="s">
        <v>81</v>
      </c>
      <c r="F466" s="311">
        <v>0.63888888888888895</v>
      </c>
      <c r="G466" s="313" t="s">
        <v>372</v>
      </c>
      <c r="H466" s="315">
        <v>1</v>
      </c>
      <c r="I466" s="8"/>
      <c r="J466" s="8"/>
      <c r="K466" s="8"/>
      <c r="L466" s="8"/>
      <c r="M466" s="8"/>
      <c r="N466" s="8"/>
      <c r="O466" s="8"/>
      <c r="P466" s="8"/>
      <c r="Q466" s="8"/>
      <c r="R466" s="8"/>
      <c r="S466" s="8"/>
      <c r="T466" s="82"/>
    </row>
    <row r="467" spans="1:20" ht="13.5" customHeight="1" x14ac:dyDescent="0.25">
      <c r="A467" s="308"/>
      <c r="B467" s="308"/>
      <c r="C467" s="171" t="str">
        <f>IFERROR(VLOOKUP(C466,Списки!$E:$F,2,0)," ")</f>
        <v>SHKOLNAYA ST 108</v>
      </c>
      <c r="D467" s="310"/>
      <c r="E467" s="171" t="str">
        <f>IFERROR(VLOOKUP(E466,Списки!$E:$F,2,0)," ")</f>
        <v>SAVUSHKINA ST 126</v>
      </c>
      <c r="F467" s="312"/>
      <c r="G467" s="314"/>
      <c r="H467" s="315"/>
      <c r="I467" s="8"/>
      <c r="J467" s="8"/>
      <c r="K467" s="8"/>
      <c r="L467" s="8"/>
      <c r="M467" s="8"/>
      <c r="N467" s="8"/>
      <c r="O467" s="8"/>
      <c r="P467" s="8"/>
      <c r="Q467" s="8"/>
      <c r="R467" s="8"/>
      <c r="S467" s="8"/>
      <c r="T467" s="82"/>
    </row>
    <row r="468" spans="1:20" ht="13.5" customHeight="1" x14ac:dyDescent="0.25">
      <c r="A468" s="307">
        <v>12</v>
      </c>
      <c r="B468" s="307" t="s">
        <v>105</v>
      </c>
      <c r="C468" s="239" t="s">
        <v>81</v>
      </c>
      <c r="D468" s="309">
        <v>0.64583333333333337</v>
      </c>
      <c r="E468" s="239" t="s">
        <v>222</v>
      </c>
      <c r="F468" s="311">
        <v>0.66666666666666663</v>
      </c>
      <c r="G468" s="313" t="s">
        <v>185</v>
      </c>
      <c r="H468" s="315">
        <v>9</v>
      </c>
      <c r="I468" s="8"/>
      <c r="J468" s="8"/>
      <c r="K468" s="8"/>
      <c r="L468" s="8"/>
      <c r="M468" s="8"/>
      <c r="N468" s="8"/>
      <c r="O468" s="8"/>
      <c r="P468" s="8"/>
      <c r="Q468" s="8"/>
      <c r="R468" s="8"/>
      <c r="S468" s="8"/>
      <c r="T468" s="82"/>
    </row>
    <row r="469" spans="1:20" ht="13.5" customHeight="1" x14ac:dyDescent="0.25">
      <c r="A469" s="308"/>
      <c r="B469" s="308"/>
      <c r="C469" s="171" t="str">
        <f>IFERROR(VLOOKUP(C468,Списки!$E:$F,2,0)," ")</f>
        <v>SAVUSHKINA ST 126</v>
      </c>
      <c r="D469" s="310"/>
      <c r="E469" s="171" t="str">
        <f>IFERROR(VLOOKUP(E468,Списки!$E:$F,2,0)," ")</f>
        <v>AVTOBUSNAYA ST 7</v>
      </c>
      <c r="F469" s="312"/>
      <c r="G469" s="314"/>
      <c r="H469" s="315"/>
      <c r="I469" s="8"/>
      <c r="J469" s="8"/>
      <c r="K469" s="8"/>
      <c r="L469" s="8"/>
      <c r="M469" s="8"/>
      <c r="N469" s="8"/>
      <c r="O469" s="8"/>
      <c r="P469" s="8"/>
      <c r="Q469" s="8"/>
      <c r="R469" s="8"/>
      <c r="S469" s="8"/>
      <c r="T469" s="82"/>
    </row>
    <row r="470" spans="1:20" ht="13.5" customHeight="1" x14ac:dyDescent="0.25">
      <c r="A470" s="307">
        <v>13</v>
      </c>
      <c r="B470" s="307"/>
      <c r="C470" s="239" t="s">
        <v>222</v>
      </c>
      <c r="D470" s="309">
        <v>0.68055555555555547</v>
      </c>
      <c r="E470" s="239" t="s">
        <v>44</v>
      </c>
      <c r="F470" s="311">
        <v>0.69444444444444453</v>
      </c>
      <c r="G470" s="313"/>
      <c r="H470" s="315">
        <v>14</v>
      </c>
      <c r="I470" s="8"/>
      <c r="J470" s="8"/>
      <c r="K470" s="8"/>
      <c r="L470" s="8"/>
      <c r="M470" s="8"/>
      <c r="N470" s="8"/>
      <c r="O470" s="8"/>
      <c r="P470" s="8"/>
      <c r="Q470" s="8"/>
      <c r="R470" s="8"/>
      <c r="S470" s="8"/>
      <c r="T470" s="82"/>
    </row>
    <row r="471" spans="1:20" ht="13.5" customHeight="1" x14ac:dyDescent="0.25">
      <c r="A471" s="308"/>
      <c r="B471" s="308"/>
      <c r="C471" s="171" t="str">
        <f>IFERROR(VLOOKUP(C470,Списки!$E:$F,2,0)," ")</f>
        <v>AVTOBUSNAYA ST 7</v>
      </c>
      <c r="D471" s="310"/>
      <c r="E471" s="171" t="str">
        <f>IFERROR(VLOOKUP(E470,Списки!$E:$F,2,0)," ")</f>
        <v>LEVASHOVSKOE HWY 20</v>
      </c>
      <c r="F471" s="312"/>
      <c r="G471" s="314"/>
      <c r="H471" s="315"/>
      <c r="I471" s="8"/>
      <c r="J471" s="8"/>
      <c r="K471" s="8"/>
      <c r="L471" s="8"/>
      <c r="M471" s="8"/>
      <c r="N471" s="8"/>
      <c r="O471" s="8"/>
      <c r="P471" s="8"/>
      <c r="Q471" s="8"/>
      <c r="R471" s="8"/>
      <c r="S471" s="8"/>
      <c r="T471" s="82"/>
    </row>
    <row r="472" spans="1:20" ht="13.5" customHeight="1" x14ac:dyDescent="0.25">
      <c r="A472" s="307">
        <v>14</v>
      </c>
      <c r="B472" s="307" t="s">
        <v>140</v>
      </c>
      <c r="C472" s="239" t="s">
        <v>44</v>
      </c>
      <c r="D472" s="309">
        <v>0.74305555555555547</v>
      </c>
      <c r="E472" s="239" t="s">
        <v>383</v>
      </c>
      <c r="F472" s="311">
        <v>0.76736111111111116</v>
      </c>
      <c r="G472" s="313"/>
      <c r="H472" s="315">
        <v>16</v>
      </c>
      <c r="I472" s="8"/>
      <c r="J472" s="8"/>
      <c r="K472" s="8"/>
      <c r="L472" s="8"/>
      <c r="M472" s="8"/>
      <c r="N472" s="8"/>
      <c r="O472" s="8"/>
      <c r="P472" s="8"/>
      <c r="Q472" s="8"/>
      <c r="R472" s="8"/>
      <c r="S472" s="8"/>
      <c r="T472" s="82"/>
    </row>
    <row r="473" spans="1:20" ht="13.5" customHeight="1" x14ac:dyDescent="0.25">
      <c r="A473" s="308"/>
      <c r="B473" s="308"/>
      <c r="C473" s="171" t="str">
        <f>IFERROR(VLOOKUP(C472,Списки!$E:$F,2,0)," ")</f>
        <v>LEVASHOVSKOE HWY 20</v>
      </c>
      <c r="D473" s="310"/>
      <c r="E473" s="241" t="s">
        <v>306</v>
      </c>
      <c r="F473" s="312"/>
      <c r="G473" s="314"/>
      <c r="H473" s="315"/>
      <c r="I473" s="8"/>
      <c r="J473" s="8"/>
      <c r="K473" s="8"/>
      <c r="L473" s="8"/>
      <c r="M473" s="8"/>
      <c r="N473" s="8"/>
      <c r="O473" s="8"/>
      <c r="P473" s="8"/>
      <c r="Q473" s="8"/>
      <c r="R473" s="8"/>
      <c r="S473" s="8"/>
      <c r="T473" s="82"/>
    </row>
    <row r="474" spans="1:20" ht="13.5" customHeight="1" x14ac:dyDescent="0.25">
      <c r="A474" s="307">
        <v>15</v>
      </c>
      <c r="B474" s="307"/>
      <c r="C474" s="239" t="s">
        <v>383</v>
      </c>
      <c r="D474" s="309">
        <v>0.76736111111111116</v>
      </c>
      <c r="E474" s="239" t="s">
        <v>45</v>
      </c>
      <c r="F474" s="311">
        <v>0.77083333333333337</v>
      </c>
      <c r="G474" s="313"/>
      <c r="H474" s="315">
        <v>1</v>
      </c>
      <c r="I474" s="8"/>
      <c r="J474" s="8"/>
      <c r="K474" s="8"/>
      <c r="L474" s="8"/>
      <c r="M474" s="8"/>
      <c r="N474" s="8"/>
      <c r="O474" s="8"/>
      <c r="P474" s="8"/>
      <c r="Q474" s="8"/>
      <c r="R474" s="8"/>
      <c r="S474" s="8"/>
      <c r="T474" s="82"/>
    </row>
    <row r="475" spans="1:20" ht="13.5" customHeight="1" x14ac:dyDescent="0.25">
      <c r="A475" s="308"/>
      <c r="B475" s="308"/>
      <c r="C475" s="241" t="s">
        <v>306</v>
      </c>
      <c r="D475" s="310"/>
      <c r="E475" s="171" t="str">
        <f>IFERROR(VLOOKUP(E474,Списки!$E:$F,2,0)," ")</f>
        <v>SAVUSHKINA ST 128</v>
      </c>
      <c r="F475" s="312"/>
      <c r="G475" s="314"/>
      <c r="H475" s="315"/>
      <c r="I475" s="8"/>
      <c r="J475" s="8"/>
      <c r="K475" s="8"/>
      <c r="L475" s="8"/>
      <c r="M475" s="8"/>
      <c r="N475" s="8"/>
      <c r="O475" s="8"/>
      <c r="P475" s="8"/>
      <c r="Q475" s="8"/>
      <c r="R475" s="8"/>
      <c r="S475" s="8"/>
      <c r="T475" s="82"/>
    </row>
    <row r="476" spans="1:20" x14ac:dyDescent="0.25">
      <c r="A476" s="36"/>
      <c r="B476" s="37"/>
      <c r="C476" s="173"/>
      <c r="D476" s="173"/>
      <c r="E476" s="174" t="s">
        <v>30</v>
      </c>
      <c r="F476" s="39">
        <f>IFERROR(SUM(IFERROR(IF((LOOKUP(9E+307,F446:F475))&gt;$M$39,(LOOKUP(9E+307,F446:F475))-$M$39,IF((LOOKUP(9E+307,F446:F475))&lt;0.166666667,0+(LOOKUP(9E+307,F446:F475))+1-$M$39,0)),0),(IF(AND(IF(D446,$M$38-D446,0)&gt;0,F446,F446&gt;D446),$M$38-D446,IF(AND(D446,F446,D446&gt;F446),"error",0)))),"ОШИБКА")</f>
        <v>0.1111111111111111</v>
      </c>
      <c r="G476" s="40" t="s">
        <v>27</v>
      </c>
      <c r="H476" s="206">
        <f>SUM(H446:H475)</f>
        <v>147</v>
      </c>
      <c r="I476" s="8"/>
      <c r="J476" s="8"/>
      <c r="K476" s="8"/>
      <c r="L476" s="8"/>
      <c r="M476" s="8"/>
      <c r="N476" s="8"/>
      <c r="O476" s="8"/>
      <c r="P476" s="8"/>
      <c r="Q476" s="8"/>
      <c r="R476" s="8"/>
      <c r="S476" s="8"/>
      <c r="T476" s="82"/>
    </row>
    <row r="477" spans="1:20" ht="15.75" x14ac:dyDescent="0.25">
      <c r="A477" s="316">
        <f>DATE(K1,J1,15)</f>
        <v>43845</v>
      </c>
      <c r="B477" s="316"/>
      <c r="C477" s="316"/>
      <c r="D477" s="316"/>
      <c r="E477" s="316"/>
      <c r="F477" s="316"/>
      <c r="G477" s="316"/>
      <c r="H477" s="316"/>
      <c r="I477" s="8"/>
      <c r="J477" s="8"/>
      <c r="K477" s="8"/>
      <c r="L477" s="8"/>
      <c r="M477" s="8"/>
      <c r="N477" s="8"/>
      <c r="O477" s="8"/>
      <c r="P477" s="8"/>
      <c r="Q477" s="8"/>
      <c r="R477" s="8"/>
      <c r="S477" s="8"/>
      <c r="T477" s="82"/>
    </row>
    <row r="478" spans="1:20" ht="13.5" customHeight="1" x14ac:dyDescent="0.25">
      <c r="A478" s="318"/>
      <c r="B478" s="320" t="s">
        <v>34</v>
      </c>
      <c r="C478" s="205" t="s">
        <v>39</v>
      </c>
      <c r="D478" s="322" t="s">
        <v>36</v>
      </c>
      <c r="E478" s="205" t="s">
        <v>37</v>
      </c>
      <c r="F478" s="320" t="s">
        <v>36</v>
      </c>
      <c r="G478" s="324" t="s">
        <v>35</v>
      </c>
      <c r="H478" s="315" t="s">
        <v>40</v>
      </c>
      <c r="I478" s="8"/>
      <c r="J478" s="8"/>
      <c r="K478" s="8"/>
      <c r="L478" s="8"/>
      <c r="M478" s="8"/>
      <c r="N478" s="8"/>
      <c r="O478" s="8"/>
      <c r="P478" s="8"/>
      <c r="Q478" s="8"/>
      <c r="R478" s="8"/>
      <c r="S478" s="8"/>
      <c r="T478" s="82"/>
    </row>
    <row r="479" spans="1:20" ht="13.5" customHeight="1" x14ac:dyDescent="0.25">
      <c r="A479" s="319"/>
      <c r="B479" s="321"/>
      <c r="C479" s="204" t="s">
        <v>38</v>
      </c>
      <c r="D479" s="323"/>
      <c r="E479" s="204" t="s">
        <v>38</v>
      </c>
      <c r="F479" s="321"/>
      <c r="G479" s="325"/>
      <c r="H479" s="315"/>
      <c r="I479" s="8"/>
      <c r="J479" s="8"/>
      <c r="K479" s="8"/>
      <c r="L479" s="8"/>
      <c r="M479" s="8"/>
      <c r="N479" s="8"/>
      <c r="O479" s="8"/>
      <c r="P479" s="8"/>
      <c r="Q479" s="8"/>
      <c r="R479" s="8"/>
      <c r="S479" s="8"/>
      <c r="T479" s="82"/>
    </row>
    <row r="480" spans="1:20" ht="13.5" customHeight="1" x14ac:dyDescent="0.25">
      <c r="A480" s="307">
        <v>1</v>
      </c>
      <c r="B480" s="307" t="s">
        <v>140</v>
      </c>
      <c r="C480" s="236" t="s">
        <v>43</v>
      </c>
      <c r="D480" s="326">
        <v>0.2638888888888889</v>
      </c>
      <c r="E480" s="236" t="s">
        <v>56</v>
      </c>
      <c r="F480" s="326">
        <v>0.27777777777777779</v>
      </c>
      <c r="G480" s="307"/>
      <c r="H480" s="307">
        <v>11</v>
      </c>
      <c r="I480" s="8"/>
      <c r="J480" s="8"/>
      <c r="K480" s="8"/>
      <c r="L480" s="8"/>
      <c r="M480" s="8"/>
      <c r="N480" s="8"/>
      <c r="O480" s="8"/>
      <c r="P480" s="8"/>
      <c r="Q480" s="8"/>
      <c r="R480" s="8"/>
      <c r="S480" s="8"/>
      <c r="T480" s="82"/>
    </row>
    <row r="481" spans="1:20" ht="13.5" customHeight="1" x14ac:dyDescent="0.25">
      <c r="A481" s="308"/>
      <c r="B481" s="308"/>
      <c r="C481" s="237" t="s">
        <v>301</v>
      </c>
      <c r="D481" s="327"/>
      <c r="E481" s="238" t="s">
        <v>299</v>
      </c>
      <c r="F481" s="327"/>
      <c r="G481" s="308"/>
      <c r="H481" s="308"/>
      <c r="I481" s="8"/>
      <c r="J481" s="8"/>
      <c r="K481" s="8"/>
      <c r="L481" s="8"/>
      <c r="M481" s="8"/>
      <c r="N481" s="8"/>
      <c r="O481" s="8"/>
      <c r="P481" s="8"/>
      <c r="Q481" s="8"/>
      <c r="R481" s="8"/>
      <c r="S481" s="8"/>
      <c r="T481" s="82"/>
    </row>
    <row r="482" spans="1:20" ht="13.5" customHeight="1" x14ac:dyDescent="0.25">
      <c r="A482" s="307">
        <v>2</v>
      </c>
      <c r="B482" s="307"/>
      <c r="C482" s="236" t="s">
        <v>56</v>
      </c>
      <c r="D482" s="326">
        <v>0.28472222222222221</v>
      </c>
      <c r="E482" s="236" t="s">
        <v>60</v>
      </c>
      <c r="F482" s="326">
        <v>0.29166666666666669</v>
      </c>
      <c r="G482" s="307"/>
      <c r="H482" s="307">
        <v>5</v>
      </c>
      <c r="I482" s="8"/>
      <c r="J482" s="8"/>
      <c r="K482" s="8"/>
      <c r="L482" s="8"/>
      <c r="M482" s="8"/>
      <c r="N482" s="8"/>
      <c r="O482" s="8"/>
      <c r="P482" s="8"/>
      <c r="Q482" s="8"/>
      <c r="R482" s="8"/>
      <c r="S482" s="8"/>
      <c r="T482" s="82"/>
    </row>
    <row r="483" spans="1:20" ht="13.5" customHeight="1" x14ac:dyDescent="0.25">
      <c r="A483" s="308"/>
      <c r="B483" s="308"/>
      <c r="C483" s="238" t="s">
        <v>299</v>
      </c>
      <c r="D483" s="327"/>
      <c r="E483" s="238" t="s">
        <v>298</v>
      </c>
      <c r="F483" s="327"/>
      <c r="G483" s="308"/>
      <c r="H483" s="308"/>
      <c r="I483" s="8"/>
      <c r="J483" s="8"/>
      <c r="K483" s="8"/>
      <c r="L483" s="8"/>
      <c r="M483" s="8"/>
      <c r="N483" s="8"/>
      <c r="O483" s="8"/>
      <c r="P483" s="8"/>
      <c r="Q483" s="8"/>
      <c r="R483" s="8"/>
      <c r="S483" s="8"/>
      <c r="T483" s="82"/>
    </row>
    <row r="484" spans="1:20" ht="13.5" customHeight="1" x14ac:dyDescent="0.25">
      <c r="A484" s="307">
        <v>3</v>
      </c>
      <c r="B484" s="307"/>
      <c r="C484" s="236" t="s">
        <v>60</v>
      </c>
      <c r="D484" s="326">
        <v>0.30208333333333331</v>
      </c>
      <c r="E484" s="236" t="s">
        <v>44</v>
      </c>
      <c r="F484" s="326">
        <v>0.3125</v>
      </c>
      <c r="G484" s="307"/>
      <c r="H484" s="307">
        <v>24</v>
      </c>
      <c r="I484" s="8"/>
      <c r="J484" s="8"/>
      <c r="K484" s="8"/>
      <c r="L484" s="8"/>
      <c r="M484" s="8"/>
      <c r="N484" s="8"/>
      <c r="O484" s="8"/>
      <c r="P484" s="8"/>
      <c r="Q484" s="8"/>
      <c r="R484" s="8"/>
      <c r="S484" s="8"/>
      <c r="T484" s="82"/>
    </row>
    <row r="485" spans="1:20" ht="13.5" customHeight="1" x14ac:dyDescent="0.25">
      <c r="A485" s="308"/>
      <c r="B485" s="308"/>
      <c r="C485" s="238" t="s">
        <v>298</v>
      </c>
      <c r="D485" s="327"/>
      <c r="E485" s="237" t="s">
        <v>297</v>
      </c>
      <c r="F485" s="327"/>
      <c r="G485" s="308"/>
      <c r="H485" s="308"/>
      <c r="I485" s="8"/>
      <c r="J485" s="8"/>
      <c r="K485" s="8"/>
      <c r="L485" s="8"/>
      <c r="M485" s="8"/>
      <c r="N485" s="8"/>
      <c r="O485" s="8"/>
      <c r="P485" s="8"/>
      <c r="Q485" s="8"/>
      <c r="R485" s="8"/>
      <c r="S485" s="8"/>
      <c r="T485" s="82"/>
    </row>
    <row r="486" spans="1:20" ht="13.5" customHeight="1" x14ac:dyDescent="0.25">
      <c r="A486" s="307">
        <v>4</v>
      </c>
      <c r="B486" s="307" t="s">
        <v>51</v>
      </c>
      <c r="C486" s="236" t="s">
        <v>44</v>
      </c>
      <c r="D486" s="326">
        <v>0.35416666666666669</v>
      </c>
      <c r="E486" s="244" t="s">
        <v>381</v>
      </c>
      <c r="F486" s="309">
        <v>0.38194444444444442</v>
      </c>
      <c r="G486" s="313" t="s">
        <v>389</v>
      </c>
      <c r="H486" s="315" t="s">
        <v>338</v>
      </c>
      <c r="I486" s="8"/>
      <c r="J486" s="8"/>
      <c r="K486" s="8"/>
      <c r="L486" s="8"/>
      <c r="M486" s="8"/>
      <c r="N486" s="8"/>
      <c r="O486" s="8"/>
      <c r="P486" s="8"/>
      <c r="Q486" s="8"/>
      <c r="R486" s="8"/>
      <c r="S486" s="8"/>
      <c r="T486" s="82"/>
    </row>
    <row r="487" spans="1:20" ht="13.5" customHeight="1" x14ac:dyDescent="0.25">
      <c r="A487" s="308"/>
      <c r="B487" s="308"/>
      <c r="C487" s="171" t="str">
        <f>IFERROR(VLOOKUP(C486,Списки!$E:$F,2,0)," ")</f>
        <v>LEVASHOVSKOE HWY 20</v>
      </c>
      <c r="D487" s="327"/>
      <c r="E487" s="171" t="str">
        <f>IFERROR(VLOOKUP(E486,Списки!$E:$F,2,0)," ")</f>
        <v>RUSTAVELI ST 53/1</v>
      </c>
      <c r="F487" s="310"/>
      <c r="G487" s="314"/>
      <c r="H487" s="315"/>
      <c r="I487" s="8"/>
      <c r="J487" s="8"/>
      <c r="K487" s="8"/>
      <c r="L487" s="8"/>
      <c r="M487" s="8"/>
      <c r="N487" s="8"/>
      <c r="O487" s="8"/>
      <c r="P487" s="8"/>
      <c r="Q487" s="8"/>
      <c r="R487" s="8"/>
      <c r="S487" s="8"/>
      <c r="T487" s="82"/>
    </row>
    <row r="488" spans="1:20" ht="13.5" customHeight="1" x14ac:dyDescent="0.25">
      <c r="A488" s="307">
        <v>5</v>
      </c>
      <c r="B488" s="307"/>
      <c r="C488" s="244" t="s">
        <v>381</v>
      </c>
      <c r="D488" s="309">
        <v>0.4375</v>
      </c>
      <c r="E488" s="245" t="s">
        <v>44</v>
      </c>
      <c r="F488" s="311">
        <v>0.45833333333333331</v>
      </c>
      <c r="G488" s="313"/>
      <c r="H488" s="315" t="s">
        <v>338</v>
      </c>
      <c r="I488" s="8"/>
      <c r="J488" s="8"/>
      <c r="K488" s="8"/>
      <c r="L488" s="8"/>
      <c r="M488" s="8"/>
      <c r="N488" s="8"/>
      <c r="O488" s="8"/>
      <c r="P488" s="8"/>
      <c r="Q488" s="8"/>
      <c r="R488" s="8"/>
      <c r="S488" s="8"/>
      <c r="T488" s="82"/>
    </row>
    <row r="489" spans="1:20" ht="13.5" customHeight="1" x14ac:dyDescent="0.25">
      <c r="A489" s="308"/>
      <c r="B489" s="308"/>
      <c r="C489" s="171" t="str">
        <f>IFERROR(VLOOKUP(C488,Списки!$E:$F,2,0)," ")</f>
        <v>RUSTAVELI ST 53/1</v>
      </c>
      <c r="D489" s="310"/>
      <c r="E489" s="172" t="str">
        <f>IFERROR(VLOOKUP(E488,Списки!$E:$F,2,0)," ")</f>
        <v>LEVASHOVSKOE HWY 20</v>
      </c>
      <c r="F489" s="312"/>
      <c r="G489" s="314"/>
      <c r="H489" s="315"/>
      <c r="I489" s="8"/>
      <c r="J489" s="8"/>
      <c r="K489" s="8"/>
      <c r="L489" s="8"/>
      <c r="M489" s="8"/>
      <c r="N489" s="8"/>
      <c r="O489" s="8"/>
      <c r="P489" s="8"/>
      <c r="Q489" s="8"/>
      <c r="R489" s="8"/>
      <c r="S489" s="8"/>
      <c r="T489" s="82"/>
    </row>
    <row r="490" spans="1:20" ht="13.5" customHeight="1" x14ac:dyDescent="0.25">
      <c r="A490" s="307">
        <v>6</v>
      </c>
      <c r="B490" s="307" t="s">
        <v>194</v>
      </c>
      <c r="C490" s="245" t="s">
        <v>44</v>
      </c>
      <c r="D490" s="309">
        <v>0.4861111111111111</v>
      </c>
      <c r="E490" s="244" t="s">
        <v>224</v>
      </c>
      <c r="F490" s="311">
        <v>0.51388888888888895</v>
      </c>
      <c r="G490" s="313" t="s">
        <v>86</v>
      </c>
      <c r="H490" s="315">
        <v>33</v>
      </c>
      <c r="I490" s="8"/>
      <c r="J490" s="8"/>
      <c r="K490" s="8"/>
      <c r="L490" s="8"/>
      <c r="M490" s="8"/>
      <c r="N490" s="8"/>
      <c r="O490" s="8"/>
      <c r="P490" s="8"/>
      <c r="Q490" s="8"/>
      <c r="R490" s="8"/>
      <c r="S490" s="8"/>
      <c r="T490" s="82"/>
    </row>
    <row r="491" spans="1:20" ht="13.5" customHeight="1" x14ac:dyDescent="0.25">
      <c r="A491" s="308"/>
      <c r="B491" s="308"/>
      <c r="C491" s="171" t="str">
        <f>IFERROR(VLOOKUP(C490,Списки!$E:$F,2,0)," ")</f>
        <v>LEVASHOVSKOE HWY 20</v>
      </c>
      <c r="D491" s="310"/>
      <c r="E491" s="179" t="str">
        <f>IFERROR(VLOOKUP(E490,Списки!$E:$F,2,0)," ")</f>
        <v>OBVOD KANALA EMB 118AB</v>
      </c>
      <c r="F491" s="312"/>
      <c r="G491" s="314"/>
      <c r="H491" s="315"/>
      <c r="I491" s="8"/>
      <c r="J491" s="8"/>
      <c r="K491" s="8"/>
      <c r="L491" s="8"/>
      <c r="M491" s="8"/>
      <c r="N491" s="8"/>
      <c r="O491" s="8"/>
      <c r="P491" s="8"/>
      <c r="Q491" s="8"/>
      <c r="R491" s="8"/>
      <c r="S491" s="8"/>
      <c r="T491" s="82"/>
    </row>
    <row r="492" spans="1:20" ht="13.5" customHeight="1" x14ac:dyDescent="0.25">
      <c r="A492" s="307">
        <v>7</v>
      </c>
      <c r="B492" s="307" t="s">
        <v>82</v>
      </c>
      <c r="C492" s="244" t="s">
        <v>224</v>
      </c>
      <c r="D492" s="309">
        <v>0.53472222222222221</v>
      </c>
      <c r="E492" s="244" t="s">
        <v>229</v>
      </c>
      <c r="F492" s="311">
        <v>0.55555555555555558</v>
      </c>
      <c r="G492" s="313" t="s">
        <v>137</v>
      </c>
      <c r="H492" s="315">
        <v>5</v>
      </c>
      <c r="I492" s="8"/>
      <c r="J492" s="8"/>
      <c r="K492" s="8"/>
      <c r="L492" s="8"/>
      <c r="M492" s="8"/>
      <c r="N492" s="8"/>
      <c r="O492" s="8"/>
      <c r="P492" s="8"/>
      <c r="Q492" s="8"/>
      <c r="R492" s="8"/>
      <c r="S492" s="8"/>
      <c r="T492" s="82"/>
    </row>
    <row r="493" spans="1:20" ht="13.5" customHeight="1" x14ac:dyDescent="0.25">
      <c r="A493" s="308"/>
      <c r="B493" s="308"/>
      <c r="C493" s="179" t="str">
        <f>IFERROR(VLOOKUP(C492,Списки!$E:$F,2,0)," ")</f>
        <v>OBVOD KANALA EMB 118AB</v>
      </c>
      <c r="D493" s="310"/>
      <c r="E493" s="171" t="str">
        <f>IFERROR(VLOOKUP(E492,Списки!$E:$F,2,0)," ")</f>
        <v>LEYT SHMIDTA EMB 9</v>
      </c>
      <c r="F493" s="312"/>
      <c r="G493" s="314"/>
      <c r="H493" s="315"/>
      <c r="I493" s="8"/>
      <c r="J493" s="8"/>
      <c r="K493" s="8"/>
      <c r="L493" s="8"/>
      <c r="M493" s="8"/>
      <c r="N493" s="8"/>
      <c r="O493" s="8"/>
      <c r="P493" s="8"/>
      <c r="Q493" s="8"/>
      <c r="R493" s="8"/>
      <c r="S493" s="8"/>
      <c r="T493" s="82"/>
    </row>
    <row r="494" spans="1:20" ht="13.5" customHeight="1" x14ac:dyDescent="0.25">
      <c r="A494" s="307">
        <v>8</v>
      </c>
      <c r="B494" s="307" t="s">
        <v>51</v>
      </c>
      <c r="C494" s="244" t="s">
        <v>229</v>
      </c>
      <c r="D494" s="309">
        <v>0.5625</v>
      </c>
      <c r="E494" s="244" t="s">
        <v>157</v>
      </c>
      <c r="F494" s="311">
        <v>0.57638888888888895</v>
      </c>
      <c r="G494" s="313" t="s">
        <v>335</v>
      </c>
      <c r="H494" s="315">
        <v>10</v>
      </c>
      <c r="I494" s="8"/>
      <c r="J494" s="8"/>
      <c r="K494" s="8"/>
      <c r="L494" s="8"/>
      <c r="M494" s="8"/>
      <c r="N494" s="8"/>
      <c r="O494" s="8"/>
      <c r="P494" s="8"/>
      <c r="Q494" s="8"/>
      <c r="R494" s="8"/>
      <c r="S494" s="8"/>
      <c r="T494" s="82"/>
    </row>
    <row r="495" spans="1:20" ht="13.5" customHeight="1" x14ac:dyDescent="0.25">
      <c r="A495" s="308"/>
      <c r="B495" s="308"/>
      <c r="C495" s="179" t="str">
        <f>IFERROR(VLOOKUP(C494,Списки!$E:$F,2,0)," ")</f>
        <v>LEYT SHMIDTA EMB 9</v>
      </c>
      <c r="D495" s="310"/>
      <c r="E495" s="171" t="str">
        <f>IFERROR(VLOOKUP(E494,Списки!$E:$F,2,0)," ")</f>
        <v>STUDENCHESKAYA ST 10</v>
      </c>
      <c r="F495" s="312"/>
      <c r="G495" s="314"/>
      <c r="H495" s="315"/>
      <c r="I495" s="8"/>
      <c r="J495" s="8"/>
      <c r="K495" s="8"/>
      <c r="L495" s="8"/>
      <c r="M495" s="8"/>
      <c r="N495" s="8"/>
      <c r="O495" s="8"/>
      <c r="P495" s="8"/>
      <c r="Q495" s="8"/>
      <c r="R495" s="8"/>
      <c r="S495" s="8"/>
      <c r="T495" s="82"/>
    </row>
    <row r="496" spans="1:20" ht="13.5" customHeight="1" x14ac:dyDescent="0.25">
      <c r="A496" s="307">
        <v>9</v>
      </c>
      <c r="B496" s="307" t="s">
        <v>42</v>
      </c>
      <c r="C496" s="244" t="s">
        <v>157</v>
      </c>
      <c r="D496" s="309">
        <v>0.59722222222222221</v>
      </c>
      <c r="E496" s="244" t="s">
        <v>225</v>
      </c>
      <c r="F496" s="311">
        <v>0.60416666666666663</v>
      </c>
      <c r="G496" s="313" t="s">
        <v>137</v>
      </c>
      <c r="H496" s="315">
        <v>2</v>
      </c>
      <c r="I496" s="8"/>
      <c r="J496" s="8"/>
      <c r="K496" s="8"/>
      <c r="L496" s="8"/>
      <c r="M496" s="8"/>
      <c r="N496" s="8"/>
      <c r="O496" s="8"/>
      <c r="P496" s="8"/>
      <c r="Q496" s="8"/>
      <c r="R496" s="8"/>
      <c r="S496" s="8"/>
      <c r="T496" s="82"/>
    </row>
    <row r="497" spans="1:20" ht="13.5" customHeight="1" x14ac:dyDescent="0.25">
      <c r="A497" s="308"/>
      <c r="B497" s="308"/>
      <c r="C497" s="171" t="str">
        <f>IFERROR(VLOOKUP(C496,Списки!$E:$F,2,0)," ")</f>
        <v>STUDENCHESKAYA ST 10</v>
      </c>
      <c r="D497" s="310"/>
      <c r="E497" s="171" t="str">
        <f>IFERROR(VLOOKUP(E496,Списки!$E:$F,2,0)," ")</f>
        <v>TORZHKOVSKAYA ST 5</v>
      </c>
      <c r="F497" s="312"/>
      <c r="G497" s="314"/>
      <c r="H497" s="315"/>
      <c r="I497" s="8"/>
      <c r="J497" s="8"/>
      <c r="K497" s="8"/>
      <c r="L497" s="8"/>
      <c r="M497" s="8"/>
      <c r="N497" s="8"/>
      <c r="O497" s="8"/>
      <c r="P497" s="8"/>
      <c r="Q497" s="8"/>
      <c r="R497" s="8"/>
      <c r="S497" s="8"/>
      <c r="T497" s="82"/>
    </row>
    <row r="498" spans="1:20" ht="13.5" customHeight="1" x14ac:dyDescent="0.25">
      <c r="A498" s="307">
        <v>10</v>
      </c>
      <c r="B498" s="307" t="s">
        <v>105</v>
      </c>
      <c r="C498" s="244" t="s">
        <v>225</v>
      </c>
      <c r="D498" s="309">
        <v>0.61805555555555558</v>
      </c>
      <c r="E498" s="244" t="s">
        <v>222</v>
      </c>
      <c r="F498" s="311">
        <v>0.63888888888888895</v>
      </c>
      <c r="G498" s="313" t="s">
        <v>137</v>
      </c>
      <c r="H498" s="315">
        <v>7</v>
      </c>
      <c r="I498" s="8"/>
      <c r="J498" s="8"/>
      <c r="K498" s="8"/>
      <c r="L498" s="8"/>
      <c r="M498" s="8"/>
      <c r="N498" s="8"/>
      <c r="O498" s="8"/>
      <c r="P498" s="8"/>
      <c r="Q498" s="8"/>
      <c r="R498" s="8"/>
      <c r="S498" s="8"/>
      <c r="T498" s="82"/>
    </row>
    <row r="499" spans="1:20" ht="13.5" customHeight="1" x14ac:dyDescent="0.25">
      <c r="A499" s="308"/>
      <c r="B499" s="308"/>
      <c r="C499" s="171" t="str">
        <f>IFERROR(VLOOKUP(C498,Списки!$E:$F,2,0)," ")</f>
        <v>TORZHKOVSKAYA ST 5</v>
      </c>
      <c r="D499" s="310"/>
      <c r="E499" s="171" t="str">
        <f>IFERROR(VLOOKUP(E498,Списки!$E:$F,2,0)," ")</f>
        <v>AVTOBUSNAYA ST 7</v>
      </c>
      <c r="F499" s="312"/>
      <c r="G499" s="314"/>
      <c r="H499" s="315"/>
      <c r="I499" s="8"/>
      <c r="J499" s="8"/>
      <c r="K499" s="8"/>
      <c r="L499" s="8"/>
      <c r="M499" s="8"/>
      <c r="N499" s="8"/>
      <c r="O499" s="8"/>
      <c r="P499" s="8"/>
      <c r="Q499" s="8"/>
      <c r="R499" s="8"/>
      <c r="S499" s="8"/>
      <c r="T499" s="82"/>
    </row>
    <row r="500" spans="1:20" ht="13.5" customHeight="1" x14ac:dyDescent="0.25">
      <c r="A500" s="307">
        <v>11</v>
      </c>
      <c r="B500" s="307"/>
      <c r="C500" s="244" t="s">
        <v>222</v>
      </c>
      <c r="D500" s="309">
        <v>0.65277777777777779</v>
      </c>
      <c r="E500" s="244" t="s">
        <v>44</v>
      </c>
      <c r="F500" s="311">
        <v>0.67361111111111116</v>
      </c>
      <c r="G500" s="313"/>
      <c r="H500" s="315">
        <v>14</v>
      </c>
      <c r="I500" s="8"/>
      <c r="J500" s="8"/>
      <c r="K500" s="8"/>
      <c r="L500" s="8"/>
      <c r="M500" s="8"/>
      <c r="N500" s="8"/>
      <c r="O500" s="8"/>
      <c r="P500" s="8"/>
      <c r="Q500" s="8"/>
      <c r="R500" s="8"/>
      <c r="S500" s="8"/>
      <c r="T500" s="82"/>
    </row>
    <row r="501" spans="1:20" ht="13.5" customHeight="1" x14ac:dyDescent="0.25">
      <c r="A501" s="308"/>
      <c r="B501" s="308"/>
      <c r="C501" s="171" t="str">
        <f>IFERROR(VLOOKUP(C500,Списки!$E:$F,2,0)," ")</f>
        <v>AVTOBUSNAYA ST 7</v>
      </c>
      <c r="D501" s="310"/>
      <c r="E501" s="171" t="str">
        <f>IFERROR(VLOOKUP(E500,Списки!$E:$F,2,0)," ")</f>
        <v>LEVASHOVSKOE HWY 20</v>
      </c>
      <c r="F501" s="312"/>
      <c r="G501" s="314"/>
      <c r="H501" s="315"/>
      <c r="I501" s="8"/>
      <c r="J501" s="8"/>
      <c r="K501" s="8"/>
      <c r="L501" s="8"/>
      <c r="M501" s="8"/>
      <c r="N501" s="8"/>
      <c r="O501" s="8"/>
      <c r="P501" s="8"/>
      <c r="Q501" s="8"/>
      <c r="R501" s="8"/>
      <c r="S501" s="8"/>
      <c r="T501" s="82"/>
    </row>
    <row r="502" spans="1:20" ht="13.5" customHeight="1" x14ac:dyDescent="0.25">
      <c r="A502" s="307">
        <v>12</v>
      </c>
      <c r="B502" s="307" t="s">
        <v>140</v>
      </c>
      <c r="C502" s="244" t="s">
        <v>44</v>
      </c>
      <c r="D502" s="309">
        <v>0.72916666666666663</v>
      </c>
      <c r="E502" s="252" t="s">
        <v>274</v>
      </c>
      <c r="F502" s="311">
        <v>0.74305555555555547</v>
      </c>
      <c r="G502" s="313"/>
      <c r="H502" s="315">
        <v>11</v>
      </c>
      <c r="I502" s="8"/>
      <c r="J502" s="8"/>
      <c r="K502" s="8"/>
      <c r="L502" s="8"/>
      <c r="M502" s="8"/>
      <c r="N502" s="8"/>
      <c r="O502" s="8"/>
      <c r="P502" s="8"/>
      <c r="Q502" s="8"/>
      <c r="R502" s="8"/>
      <c r="S502" s="8"/>
      <c r="T502" s="82"/>
    </row>
    <row r="503" spans="1:20" ht="13.5" customHeight="1" x14ac:dyDescent="0.25">
      <c r="A503" s="308"/>
      <c r="B503" s="308"/>
      <c r="C503" s="171" t="str">
        <f>IFERROR(VLOOKUP(C502,Списки!$E:$F,2,0)," ")</f>
        <v>LEVASHOVSKOE HWY 20</v>
      </c>
      <c r="D503" s="310"/>
      <c r="E503" s="171" t="str">
        <f>IFERROR(VLOOKUP(E502,Списки!$E:$F,2,0)," ")</f>
        <v>KONNOLAKHTINSKIY AVE 4</v>
      </c>
      <c r="F503" s="312"/>
      <c r="G503" s="314"/>
      <c r="H503" s="315"/>
      <c r="I503" s="8"/>
      <c r="J503" s="8"/>
      <c r="K503" s="8"/>
      <c r="L503" s="8"/>
      <c r="M503" s="8"/>
      <c r="N503" s="8"/>
      <c r="O503" s="8"/>
      <c r="P503" s="8"/>
      <c r="Q503" s="8"/>
      <c r="R503" s="8"/>
      <c r="S503" s="8"/>
      <c r="T503" s="82"/>
    </row>
    <row r="504" spans="1:20" ht="13.5" customHeight="1" x14ac:dyDescent="0.25">
      <c r="A504" s="307">
        <v>13</v>
      </c>
      <c r="B504" s="307"/>
      <c r="C504" s="252" t="s">
        <v>274</v>
      </c>
      <c r="D504" s="309">
        <v>0.74305555555555547</v>
      </c>
      <c r="E504" s="252" t="s">
        <v>45</v>
      </c>
      <c r="F504" s="311">
        <v>0.75</v>
      </c>
      <c r="G504" s="313"/>
      <c r="H504" s="315">
        <v>5</v>
      </c>
      <c r="I504" s="8"/>
      <c r="J504" s="8"/>
      <c r="K504" s="8"/>
      <c r="L504" s="8"/>
      <c r="M504" s="8"/>
      <c r="N504" s="8"/>
      <c r="O504" s="8"/>
      <c r="P504" s="8"/>
      <c r="Q504" s="8"/>
      <c r="R504" s="8"/>
      <c r="S504" s="8"/>
      <c r="T504" s="82"/>
    </row>
    <row r="505" spans="1:20" ht="13.5" customHeight="1" x14ac:dyDescent="0.25">
      <c r="A505" s="308"/>
      <c r="B505" s="308"/>
      <c r="C505" s="171" t="str">
        <f>IFERROR(VLOOKUP(C504,Списки!$E:$F,2,0)," ")</f>
        <v>KONNOLAKHTINSKIY AVE 4</v>
      </c>
      <c r="D505" s="310"/>
      <c r="E505" s="171" t="str">
        <f>IFERROR(VLOOKUP(E504,Списки!$E:$F,2,0)," ")</f>
        <v>SAVUSHKINA ST 128</v>
      </c>
      <c r="F505" s="312"/>
      <c r="G505" s="314"/>
      <c r="H505" s="315"/>
      <c r="I505" s="8"/>
      <c r="J505" s="8"/>
      <c r="K505" s="8"/>
      <c r="L505" s="8"/>
      <c r="M505" s="8"/>
      <c r="N505" s="8"/>
      <c r="O505" s="8"/>
      <c r="P505" s="8"/>
      <c r="Q505" s="8"/>
      <c r="R505" s="8"/>
      <c r="S505" s="8"/>
      <c r="T505" s="82"/>
    </row>
    <row r="506" spans="1:20" ht="13.5" customHeight="1" x14ac:dyDescent="0.25">
      <c r="A506" s="307">
        <v>14</v>
      </c>
      <c r="B506" s="307"/>
      <c r="C506" s="170"/>
      <c r="D506" s="309"/>
      <c r="E506" s="170"/>
      <c r="F506" s="311"/>
      <c r="G506" s="313"/>
      <c r="H506" s="315"/>
      <c r="I506" s="8"/>
      <c r="J506" s="8"/>
      <c r="K506" s="8"/>
      <c r="L506" s="8"/>
      <c r="M506" s="8"/>
      <c r="N506" s="8"/>
      <c r="O506" s="8"/>
      <c r="P506" s="8"/>
      <c r="Q506" s="8"/>
      <c r="R506" s="8"/>
      <c r="S506" s="8"/>
      <c r="T506" s="82"/>
    </row>
    <row r="507" spans="1:20" ht="13.5" customHeight="1" x14ac:dyDescent="0.25">
      <c r="A507" s="308"/>
      <c r="B507" s="308"/>
      <c r="C507" s="171" t="str">
        <f>IFERROR(VLOOKUP(C506,Списки!$E:$F,2,0)," ")</f>
        <v xml:space="preserve"> </v>
      </c>
      <c r="D507" s="310"/>
      <c r="E507" s="171" t="str">
        <f>IFERROR(VLOOKUP(E506,Списки!$E:$F,2,0)," ")</f>
        <v xml:space="preserve"> </v>
      </c>
      <c r="F507" s="312"/>
      <c r="G507" s="314"/>
      <c r="H507" s="315"/>
      <c r="I507" s="8"/>
      <c r="J507" s="8"/>
      <c r="K507" s="8"/>
      <c r="L507" s="8"/>
      <c r="M507" s="8"/>
      <c r="N507" s="8"/>
      <c r="O507" s="8"/>
      <c r="P507" s="8"/>
      <c r="Q507" s="8"/>
      <c r="R507" s="8"/>
      <c r="S507" s="8"/>
      <c r="T507" s="82"/>
    </row>
    <row r="508" spans="1:20" ht="13.5" customHeight="1" x14ac:dyDescent="0.25">
      <c r="A508" s="307">
        <v>15</v>
      </c>
      <c r="B508" s="307"/>
      <c r="C508" s="170"/>
      <c r="D508" s="309"/>
      <c r="E508" s="170"/>
      <c r="F508" s="311"/>
      <c r="G508" s="313"/>
      <c r="H508" s="315"/>
      <c r="I508" s="8"/>
      <c r="J508" s="8"/>
      <c r="K508" s="8"/>
      <c r="L508" s="8"/>
      <c r="M508" s="8"/>
      <c r="N508" s="8"/>
      <c r="O508" s="8"/>
      <c r="P508" s="8"/>
      <c r="Q508" s="8"/>
      <c r="R508" s="8"/>
      <c r="S508" s="8"/>
      <c r="T508" s="82"/>
    </row>
    <row r="509" spans="1:20" ht="13.5" customHeight="1" x14ac:dyDescent="0.25">
      <c r="A509" s="308"/>
      <c r="B509" s="308"/>
      <c r="C509" s="171" t="str">
        <f>IFERROR(VLOOKUP(C508,Списки!$E:$F,2,0)," ")</f>
        <v xml:space="preserve"> </v>
      </c>
      <c r="D509" s="310"/>
      <c r="E509" s="171" t="str">
        <f>IFERROR(VLOOKUP(E508,Списки!$E:$F,2,0)," ")</f>
        <v xml:space="preserve"> </v>
      </c>
      <c r="F509" s="312"/>
      <c r="G509" s="314"/>
      <c r="H509" s="315"/>
      <c r="I509" s="8"/>
      <c r="J509" s="8"/>
      <c r="K509" s="8"/>
      <c r="L509" s="8"/>
      <c r="M509" s="8"/>
      <c r="N509" s="8"/>
      <c r="O509" s="8"/>
      <c r="P509" s="8"/>
      <c r="Q509" s="8"/>
      <c r="R509" s="8"/>
      <c r="S509" s="8"/>
      <c r="T509" s="82"/>
    </row>
    <row r="510" spans="1:20" x14ac:dyDescent="0.25">
      <c r="A510" s="36"/>
      <c r="B510" s="37"/>
      <c r="C510" s="173"/>
      <c r="D510" s="173"/>
      <c r="E510" s="174" t="s">
        <v>30</v>
      </c>
      <c r="F510" s="39">
        <f>IFERROR(SUM(IFERROR(IF((LOOKUP(9E+307,F480:F509))&gt;$M$39,(LOOKUP(9E+307,F480:F509))-$M$39,IF((LOOKUP(9E+307,F480:F509))&lt;0.166666667,0+(LOOKUP(9E+307,F480:F509))+1-$M$39,0)),0),(IF(AND(IF(D480,$M$38-D480,0)&gt;0,F480,F480&gt;D480),$M$38-D480,IF(AND(D480,F480,D480&gt;F480),"error",0)))),"ОШИБКА")</f>
        <v>9.0277777777777735E-2</v>
      </c>
      <c r="G510" s="40" t="s">
        <v>27</v>
      </c>
      <c r="H510" s="206">
        <f>SUM(H480:H509)</f>
        <v>127</v>
      </c>
      <c r="I510" s="8"/>
      <c r="J510" s="8"/>
      <c r="K510" s="8"/>
      <c r="L510" s="8"/>
      <c r="M510" s="8"/>
      <c r="N510" s="8"/>
      <c r="O510" s="8"/>
      <c r="P510" s="8"/>
      <c r="Q510" s="8"/>
      <c r="R510" s="8"/>
      <c r="S510" s="8"/>
      <c r="T510" s="82"/>
    </row>
    <row r="511" spans="1:20" ht="15.75" x14ac:dyDescent="0.25">
      <c r="A511" s="316">
        <f>DATE(K1,J1,16)</f>
        <v>43846</v>
      </c>
      <c r="B511" s="316"/>
      <c r="C511" s="316"/>
      <c r="D511" s="316"/>
      <c r="E511" s="316"/>
      <c r="F511" s="316"/>
      <c r="G511" s="316"/>
      <c r="H511" s="316"/>
      <c r="I511" s="8"/>
      <c r="J511" s="8"/>
      <c r="K511" s="8"/>
      <c r="L511" s="8"/>
      <c r="M511" s="8"/>
      <c r="N511" s="8"/>
      <c r="O511" s="8"/>
      <c r="P511" s="8"/>
      <c r="Q511" s="8"/>
      <c r="R511" s="8"/>
      <c r="S511" s="8"/>
      <c r="T511" s="82"/>
    </row>
    <row r="512" spans="1:20" ht="13.5" customHeight="1" x14ac:dyDescent="0.25">
      <c r="A512" s="318"/>
      <c r="B512" s="320" t="s">
        <v>34</v>
      </c>
      <c r="C512" s="205" t="s">
        <v>39</v>
      </c>
      <c r="D512" s="322" t="s">
        <v>36</v>
      </c>
      <c r="E512" s="205" t="s">
        <v>37</v>
      </c>
      <c r="F512" s="320" t="s">
        <v>36</v>
      </c>
      <c r="G512" s="324" t="s">
        <v>35</v>
      </c>
      <c r="H512" s="315" t="s">
        <v>40</v>
      </c>
      <c r="I512" s="8"/>
      <c r="J512" s="8"/>
      <c r="K512" s="8"/>
      <c r="L512" s="8"/>
      <c r="M512" s="8"/>
      <c r="N512" s="8"/>
      <c r="O512" s="8"/>
      <c r="P512" s="8"/>
      <c r="Q512" s="8"/>
      <c r="R512" s="8"/>
      <c r="S512" s="8"/>
      <c r="T512" s="82"/>
    </row>
    <row r="513" spans="1:20" ht="13.5" customHeight="1" x14ac:dyDescent="0.25">
      <c r="A513" s="319"/>
      <c r="B513" s="321"/>
      <c r="C513" s="204" t="s">
        <v>38</v>
      </c>
      <c r="D513" s="323"/>
      <c r="E513" s="204" t="s">
        <v>38</v>
      </c>
      <c r="F513" s="321"/>
      <c r="G513" s="325"/>
      <c r="H513" s="315"/>
      <c r="I513" s="8"/>
      <c r="J513" s="8"/>
      <c r="K513" s="8"/>
      <c r="L513" s="8"/>
      <c r="M513" s="8"/>
      <c r="N513" s="8"/>
      <c r="O513" s="8"/>
      <c r="P513" s="8"/>
      <c r="Q513" s="8"/>
      <c r="R513" s="8"/>
      <c r="S513" s="8"/>
      <c r="T513" s="82"/>
    </row>
    <row r="514" spans="1:20" ht="13.5" customHeight="1" x14ac:dyDescent="0.25">
      <c r="A514" s="307">
        <v>1</v>
      </c>
      <c r="B514" s="307" t="s">
        <v>140</v>
      </c>
      <c r="C514" s="246" t="s">
        <v>43</v>
      </c>
      <c r="D514" s="326">
        <v>0.2638888888888889</v>
      </c>
      <c r="E514" s="246" t="s">
        <v>56</v>
      </c>
      <c r="F514" s="326">
        <v>0.27777777777777779</v>
      </c>
      <c r="G514" s="307"/>
      <c r="H514" s="307">
        <v>11</v>
      </c>
      <c r="I514" s="8"/>
      <c r="J514" s="8"/>
      <c r="K514" s="8"/>
      <c r="L514" s="8"/>
      <c r="M514" s="8"/>
      <c r="N514" s="8"/>
      <c r="O514" s="8"/>
      <c r="P514" s="8"/>
      <c r="Q514" s="8"/>
      <c r="R514" s="8"/>
      <c r="S514" s="8"/>
      <c r="T514" s="82"/>
    </row>
    <row r="515" spans="1:20" ht="13.5" customHeight="1" x14ac:dyDescent="0.25">
      <c r="A515" s="308"/>
      <c r="B515" s="308"/>
      <c r="C515" s="247" t="s">
        <v>301</v>
      </c>
      <c r="D515" s="327"/>
      <c r="E515" s="248" t="s">
        <v>299</v>
      </c>
      <c r="F515" s="327"/>
      <c r="G515" s="308"/>
      <c r="H515" s="308"/>
      <c r="I515" s="8"/>
      <c r="J515" s="8"/>
      <c r="K515" s="8"/>
      <c r="L515" s="8"/>
      <c r="M515" s="8"/>
      <c r="N515" s="8"/>
      <c r="O515" s="8"/>
      <c r="P515" s="8"/>
      <c r="Q515" s="8"/>
      <c r="R515" s="8"/>
      <c r="S515" s="8"/>
      <c r="T515" s="82"/>
    </row>
    <row r="516" spans="1:20" ht="13.5" customHeight="1" x14ac:dyDescent="0.25">
      <c r="A516" s="307">
        <v>2</v>
      </c>
      <c r="B516" s="307"/>
      <c r="C516" s="246" t="s">
        <v>56</v>
      </c>
      <c r="D516" s="326">
        <v>0.28125</v>
      </c>
      <c r="E516" s="246" t="s">
        <v>58</v>
      </c>
      <c r="F516" s="326">
        <v>0.28819444444444448</v>
      </c>
      <c r="G516" s="307"/>
      <c r="H516" s="307">
        <v>3</v>
      </c>
      <c r="I516" s="8"/>
      <c r="J516" s="8"/>
      <c r="K516" s="8"/>
      <c r="L516" s="8"/>
      <c r="M516" s="8"/>
      <c r="N516" s="8"/>
      <c r="O516" s="8"/>
      <c r="P516" s="8"/>
      <c r="Q516" s="8"/>
      <c r="R516" s="8"/>
      <c r="S516" s="8"/>
      <c r="T516" s="82"/>
    </row>
    <row r="517" spans="1:20" ht="13.5" customHeight="1" x14ac:dyDescent="0.25">
      <c r="A517" s="308"/>
      <c r="B517" s="308"/>
      <c r="C517" s="248" t="s">
        <v>299</v>
      </c>
      <c r="D517" s="327"/>
      <c r="E517" s="247" t="s">
        <v>300</v>
      </c>
      <c r="F517" s="327"/>
      <c r="G517" s="308"/>
      <c r="H517" s="308"/>
      <c r="I517" s="8"/>
      <c r="J517" s="8"/>
      <c r="K517" s="8"/>
      <c r="L517" s="8"/>
      <c r="M517" s="8"/>
      <c r="N517" s="8"/>
      <c r="O517" s="8"/>
      <c r="P517" s="8"/>
      <c r="Q517" s="8"/>
      <c r="R517" s="8"/>
      <c r="S517" s="8"/>
      <c r="T517" s="82"/>
    </row>
    <row r="518" spans="1:20" ht="13.5" customHeight="1" x14ac:dyDescent="0.25">
      <c r="A518" s="307">
        <v>3</v>
      </c>
      <c r="B518" s="307"/>
      <c r="C518" s="246" t="s">
        <v>58</v>
      </c>
      <c r="D518" s="326">
        <v>0.28819444444444448</v>
      </c>
      <c r="E518" s="246" t="s">
        <v>44</v>
      </c>
      <c r="F518" s="326">
        <v>0.30208333333333331</v>
      </c>
      <c r="G518" s="307"/>
      <c r="H518" s="307">
        <v>23</v>
      </c>
      <c r="I518" s="8"/>
      <c r="J518" s="8"/>
      <c r="K518" s="8"/>
      <c r="L518" s="8"/>
      <c r="M518" s="8"/>
      <c r="N518" s="8"/>
      <c r="O518" s="8"/>
      <c r="P518" s="8"/>
      <c r="Q518" s="8"/>
      <c r="R518" s="8"/>
      <c r="S518" s="8"/>
      <c r="T518" s="82"/>
    </row>
    <row r="519" spans="1:20" ht="13.5" customHeight="1" x14ac:dyDescent="0.25">
      <c r="A519" s="308"/>
      <c r="B519" s="308"/>
      <c r="C519" s="247" t="s">
        <v>300</v>
      </c>
      <c r="D519" s="327"/>
      <c r="E519" s="247" t="s">
        <v>297</v>
      </c>
      <c r="F519" s="327"/>
      <c r="G519" s="308"/>
      <c r="H519" s="308"/>
      <c r="I519" s="8"/>
      <c r="J519" s="8"/>
      <c r="K519" s="8"/>
      <c r="L519" s="8"/>
      <c r="M519" s="8"/>
      <c r="N519" s="8"/>
      <c r="O519" s="8"/>
      <c r="P519" s="8"/>
      <c r="Q519" s="8"/>
      <c r="R519" s="8"/>
      <c r="S519" s="8"/>
      <c r="T519" s="82"/>
    </row>
    <row r="520" spans="1:20" ht="13.5" customHeight="1" x14ac:dyDescent="0.25">
      <c r="A520" s="307">
        <v>4</v>
      </c>
      <c r="B520" s="307" t="s">
        <v>51</v>
      </c>
      <c r="C520" s="246" t="s">
        <v>44</v>
      </c>
      <c r="D520" s="309">
        <v>0.3298611111111111</v>
      </c>
      <c r="E520" s="253" t="s">
        <v>356</v>
      </c>
      <c r="F520" s="311">
        <v>0.34722222222222227</v>
      </c>
      <c r="G520" s="313" t="s">
        <v>392</v>
      </c>
      <c r="H520" s="315" t="s">
        <v>338</v>
      </c>
      <c r="I520" s="8"/>
      <c r="J520" s="8"/>
      <c r="K520" s="8"/>
      <c r="L520" s="8"/>
      <c r="M520" s="8"/>
      <c r="N520" s="8"/>
      <c r="O520" s="8"/>
      <c r="P520" s="8"/>
      <c r="Q520" s="8"/>
      <c r="R520" s="8"/>
      <c r="S520" s="8"/>
      <c r="T520" s="82"/>
    </row>
    <row r="521" spans="1:20" ht="13.5" customHeight="1" x14ac:dyDescent="0.25">
      <c r="A521" s="308"/>
      <c r="B521" s="308"/>
      <c r="C521" s="171" t="str">
        <f>IFERROR(VLOOKUP(C520,Списки!$E:$F,2,0)," ")</f>
        <v>LEVASHOVSKOE HWY 20</v>
      </c>
      <c r="D521" s="310"/>
      <c r="E521" s="171" t="str">
        <f>IFERROR(VLOOKUP(E520,Списки!$E:$F,2,0)," ")</f>
        <v>PLANERNAYA ST 17</v>
      </c>
      <c r="F521" s="312"/>
      <c r="G521" s="314"/>
      <c r="H521" s="315"/>
      <c r="I521" s="8"/>
      <c r="J521" s="8"/>
      <c r="K521" s="8"/>
      <c r="L521" s="8"/>
      <c r="M521" s="8"/>
      <c r="N521" s="8"/>
      <c r="O521" s="8"/>
      <c r="P521" s="8"/>
      <c r="Q521" s="8"/>
      <c r="R521" s="8"/>
      <c r="S521" s="8"/>
      <c r="T521" s="82"/>
    </row>
    <row r="522" spans="1:20" ht="13.5" customHeight="1" x14ac:dyDescent="0.25">
      <c r="A522" s="307">
        <v>5</v>
      </c>
      <c r="B522" s="307"/>
      <c r="C522" s="253" t="s">
        <v>356</v>
      </c>
      <c r="D522" s="309">
        <v>0.36458333333333331</v>
      </c>
      <c r="E522" s="254" t="s">
        <v>44</v>
      </c>
      <c r="F522" s="311">
        <v>0.375</v>
      </c>
      <c r="G522" s="313"/>
      <c r="H522" s="315" t="s">
        <v>338</v>
      </c>
      <c r="I522" s="8"/>
      <c r="J522" s="8"/>
      <c r="K522" s="8"/>
      <c r="L522" s="8"/>
      <c r="M522" s="8"/>
      <c r="N522" s="8"/>
      <c r="O522" s="8"/>
      <c r="P522" s="8"/>
      <c r="Q522" s="8"/>
      <c r="R522" s="8"/>
      <c r="S522" s="8"/>
      <c r="T522" s="82"/>
    </row>
    <row r="523" spans="1:20" ht="13.5" customHeight="1" x14ac:dyDescent="0.25">
      <c r="A523" s="308"/>
      <c r="B523" s="308"/>
      <c r="C523" s="171" t="str">
        <f>IFERROR(VLOOKUP(C522,Списки!$E:$F,2,0)," ")</f>
        <v>PLANERNAYA ST 17</v>
      </c>
      <c r="D523" s="310"/>
      <c r="E523" s="172" t="str">
        <f>IFERROR(VLOOKUP(E522,Списки!$E:$F,2,0)," ")</f>
        <v>LEVASHOVSKOE HWY 20</v>
      </c>
      <c r="F523" s="312"/>
      <c r="G523" s="314"/>
      <c r="H523" s="315"/>
      <c r="I523" s="8"/>
      <c r="J523" s="8"/>
      <c r="K523" s="8"/>
      <c r="L523" s="8"/>
      <c r="M523" s="8"/>
      <c r="N523" s="8"/>
      <c r="O523" s="8"/>
      <c r="P523" s="8"/>
      <c r="Q523" s="8"/>
      <c r="R523" s="8"/>
      <c r="S523" s="8"/>
      <c r="T523" s="82"/>
    </row>
    <row r="524" spans="1:20" ht="13.5" customHeight="1" x14ac:dyDescent="0.25">
      <c r="A524" s="307">
        <v>6</v>
      </c>
      <c r="B524" s="307" t="s">
        <v>42</v>
      </c>
      <c r="C524" s="253" t="s">
        <v>44</v>
      </c>
      <c r="D524" s="309">
        <v>0.375</v>
      </c>
      <c r="E524" s="253" t="s">
        <v>243</v>
      </c>
      <c r="F524" s="311">
        <v>0.3888888888888889</v>
      </c>
      <c r="G524" s="313" t="s">
        <v>92</v>
      </c>
      <c r="H524" s="315" t="s">
        <v>338</v>
      </c>
      <c r="I524" s="8"/>
      <c r="J524" s="8"/>
      <c r="K524" s="8"/>
      <c r="L524" s="8"/>
      <c r="M524" s="8"/>
      <c r="N524" s="8"/>
      <c r="O524" s="8"/>
      <c r="P524" s="8"/>
      <c r="Q524" s="8"/>
      <c r="R524" s="8"/>
      <c r="S524" s="8"/>
      <c r="T524" s="82"/>
    </row>
    <row r="525" spans="1:20" ht="13.5" customHeight="1" x14ac:dyDescent="0.25">
      <c r="A525" s="308"/>
      <c r="B525" s="308"/>
      <c r="C525" s="171" t="str">
        <f>IFERROR(VLOOKUP(C524,Списки!$E:$F,2,0)," ")</f>
        <v>LEVASHOVSKOE HWY 20</v>
      </c>
      <c r="D525" s="310"/>
      <c r="E525" s="179" t="str">
        <f>IFERROR(VLOOKUP(E524,Списки!$E:$F,2,0)," ")</f>
        <v>BORISOVA ST 6</v>
      </c>
      <c r="F525" s="312"/>
      <c r="G525" s="314"/>
      <c r="H525" s="315"/>
      <c r="I525" s="8"/>
      <c r="J525" s="8"/>
      <c r="K525" s="8"/>
      <c r="L525" s="8"/>
      <c r="M525" s="8"/>
      <c r="N525" s="8"/>
      <c r="O525" s="8"/>
      <c r="P525" s="8"/>
      <c r="Q525" s="8"/>
      <c r="R525" s="8"/>
      <c r="S525" s="8"/>
      <c r="T525" s="82"/>
    </row>
    <row r="526" spans="1:20" ht="13.5" customHeight="1" x14ac:dyDescent="0.25">
      <c r="A526" s="307">
        <v>7</v>
      </c>
      <c r="B526" s="307"/>
      <c r="C526" s="253" t="s">
        <v>243</v>
      </c>
      <c r="D526" s="309">
        <v>0.41666666666666669</v>
      </c>
      <c r="E526" s="253" t="s">
        <v>44</v>
      </c>
      <c r="F526" s="311">
        <v>0.44444444444444442</v>
      </c>
      <c r="G526" s="313"/>
      <c r="H526" s="315" t="s">
        <v>338</v>
      </c>
      <c r="I526" s="8"/>
      <c r="J526" s="8"/>
      <c r="K526" s="8"/>
      <c r="L526" s="8"/>
      <c r="M526" s="8"/>
      <c r="N526" s="8"/>
      <c r="O526" s="8"/>
      <c r="P526" s="8"/>
      <c r="Q526" s="8"/>
      <c r="R526" s="8"/>
      <c r="S526" s="8"/>
      <c r="T526" s="82"/>
    </row>
    <row r="527" spans="1:20" ht="13.5" customHeight="1" x14ac:dyDescent="0.25">
      <c r="A527" s="308"/>
      <c r="B527" s="308"/>
      <c r="C527" s="179" t="str">
        <f>IFERROR(VLOOKUP(C526,Списки!$E:$F,2,0)," ")</f>
        <v>BORISOVA ST 6</v>
      </c>
      <c r="D527" s="310"/>
      <c r="E527" s="171" t="str">
        <f>IFERROR(VLOOKUP(E526,Списки!$E:$F,2,0)," ")</f>
        <v>LEVASHOVSKOE HWY 20</v>
      </c>
      <c r="F527" s="312"/>
      <c r="G527" s="314"/>
      <c r="H527" s="315"/>
      <c r="I527" s="8"/>
      <c r="J527" s="8"/>
      <c r="K527" s="8"/>
      <c r="L527" s="8"/>
      <c r="M527" s="8"/>
      <c r="N527" s="8"/>
      <c r="O527" s="8"/>
      <c r="P527" s="8"/>
      <c r="Q527" s="8"/>
      <c r="R527" s="8"/>
      <c r="S527" s="8"/>
      <c r="T527" s="82"/>
    </row>
    <row r="528" spans="1:20" ht="13.5" customHeight="1" x14ac:dyDescent="0.25">
      <c r="A528" s="307">
        <v>8</v>
      </c>
      <c r="B528" s="307" t="s">
        <v>51</v>
      </c>
      <c r="C528" s="253" t="s">
        <v>44</v>
      </c>
      <c r="D528" s="309">
        <v>0.4861111111111111</v>
      </c>
      <c r="E528" s="253" t="s">
        <v>157</v>
      </c>
      <c r="F528" s="311">
        <v>0.50694444444444442</v>
      </c>
      <c r="G528" s="313" t="s">
        <v>185</v>
      </c>
      <c r="H528" s="315">
        <v>22</v>
      </c>
      <c r="I528" s="8"/>
      <c r="J528" s="8"/>
      <c r="K528" s="8"/>
      <c r="L528" s="8"/>
      <c r="M528" s="8"/>
      <c r="N528" s="8"/>
      <c r="O528" s="8"/>
      <c r="P528" s="8"/>
      <c r="Q528" s="8"/>
      <c r="R528" s="8"/>
      <c r="S528" s="8"/>
      <c r="T528" s="82"/>
    </row>
    <row r="529" spans="1:20" ht="13.5" customHeight="1" x14ac:dyDescent="0.25">
      <c r="A529" s="308"/>
      <c r="B529" s="308"/>
      <c r="C529" s="179" t="str">
        <f>IFERROR(VLOOKUP(C528,Списки!$E:$F,2,0)," ")</f>
        <v>LEVASHOVSKOE HWY 20</v>
      </c>
      <c r="D529" s="310"/>
      <c r="E529" s="171" t="str">
        <f>IFERROR(VLOOKUP(E528,Списки!$E:$F,2,0)," ")</f>
        <v>STUDENCHESKAYA ST 10</v>
      </c>
      <c r="F529" s="312"/>
      <c r="G529" s="314"/>
      <c r="H529" s="315"/>
      <c r="I529" s="8"/>
      <c r="J529" s="8"/>
      <c r="K529" s="8"/>
      <c r="L529" s="8"/>
      <c r="M529" s="8"/>
      <c r="N529" s="8"/>
      <c r="O529" s="8"/>
      <c r="P529" s="8"/>
      <c r="Q529" s="8"/>
      <c r="R529" s="8"/>
      <c r="S529" s="8"/>
      <c r="T529" s="82"/>
    </row>
    <row r="530" spans="1:20" ht="13.5" customHeight="1" x14ac:dyDescent="0.25">
      <c r="A530" s="307">
        <v>9</v>
      </c>
      <c r="B530" s="307" t="s">
        <v>51</v>
      </c>
      <c r="C530" s="253" t="s">
        <v>157</v>
      </c>
      <c r="D530" s="309">
        <v>0.52083333333333337</v>
      </c>
      <c r="E530" s="253" t="s">
        <v>250</v>
      </c>
      <c r="F530" s="311">
        <v>0.53472222222222221</v>
      </c>
      <c r="G530" s="313" t="s">
        <v>137</v>
      </c>
      <c r="H530" s="315">
        <v>7</v>
      </c>
      <c r="I530" s="8"/>
      <c r="J530" s="8"/>
      <c r="K530" s="8"/>
      <c r="L530" s="8"/>
      <c r="M530" s="8"/>
      <c r="N530" s="8"/>
      <c r="O530" s="8"/>
      <c r="P530" s="8"/>
      <c r="Q530" s="8"/>
      <c r="R530" s="8"/>
      <c r="S530" s="8"/>
      <c r="T530" s="82"/>
    </row>
    <row r="531" spans="1:20" ht="13.5" customHeight="1" x14ac:dyDescent="0.25">
      <c r="A531" s="308"/>
      <c r="B531" s="308"/>
      <c r="C531" s="171" t="str">
        <f>IFERROR(VLOOKUP(C530,Списки!$E:$F,2,0)," ")</f>
        <v>STUDENCHESKAYA ST 10</v>
      </c>
      <c r="D531" s="310"/>
      <c r="E531" s="171" t="str">
        <f>IFERROR(VLOOKUP(E530,Списки!$E:$F,2,0)," ")</f>
        <v>PLANERNAYA ST 7</v>
      </c>
      <c r="F531" s="312"/>
      <c r="G531" s="314"/>
      <c r="H531" s="315"/>
      <c r="I531" s="8"/>
      <c r="J531" s="8"/>
      <c r="K531" s="8"/>
      <c r="L531" s="8"/>
      <c r="M531" s="8"/>
      <c r="N531" s="8"/>
      <c r="O531" s="8"/>
      <c r="P531" s="8"/>
      <c r="Q531" s="8"/>
      <c r="R531" s="8"/>
      <c r="S531" s="8"/>
      <c r="T531" s="82"/>
    </row>
    <row r="532" spans="1:20" ht="13.5" customHeight="1" x14ac:dyDescent="0.25">
      <c r="A532" s="307">
        <v>10</v>
      </c>
      <c r="B532" s="307" t="s">
        <v>143</v>
      </c>
      <c r="C532" s="253" t="s">
        <v>250</v>
      </c>
      <c r="D532" s="309">
        <v>0.54166666666666663</v>
      </c>
      <c r="E532" s="253" t="s">
        <v>48</v>
      </c>
      <c r="F532" s="311">
        <v>0.54861111111111105</v>
      </c>
      <c r="G532" s="313" t="s">
        <v>109</v>
      </c>
      <c r="H532" s="315">
        <v>2</v>
      </c>
      <c r="I532" s="8"/>
      <c r="J532" s="8"/>
      <c r="K532" s="8"/>
      <c r="L532" s="8"/>
      <c r="M532" s="8"/>
      <c r="N532" s="8"/>
      <c r="O532" s="8"/>
      <c r="P532" s="8"/>
      <c r="Q532" s="8"/>
      <c r="R532" s="8"/>
      <c r="S532" s="8"/>
      <c r="T532" s="82"/>
    </row>
    <row r="533" spans="1:20" ht="13.5" customHeight="1" x14ac:dyDescent="0.25">
      <c r="A533" s="308"/>
      <c r="B533" s="308"/>
      <c r="C533" s="171" t="str">
        <f>IFERROR(VLOOKUP(C532,Списки!$E:$F,2,0)," ")</f>
        <v>PLANERNAYA ST 7</v>
      </c>
      <c r="D533" s="310"/>
      <c r="E533" s="171" t="str">
        <f>IFERROR(VLOOKUP(E532,Списки!$E:$F,2,0)," ")</f>
        <v>SHKOLNAYA ST 108</v>
      </c>
      <c r="F533" s="312"/>
      <c r="G533" s="314"/>
      <c r="H533" s="315"/>
      <c r="I533" s="8"/>
      <c r="J533" s="8"/>
      <c r="K533" s="8"/>
      <c r="L533" s="8"/>
      <c r="M533" s="8"/>
      <c r="N533" s="8"/>
      <c r="O533" s="8"/>
      <c r="P533" s="8"/>
      <c r="Q533" s="8"/>
      <c r="R533" s="8"/>
      <c r="S533" s="8"/>
      <c r="T533" s="82"/>
    </row>
    <row r="534" spans="1:20" ht="13.5" customHeight="1" x14ac:dyDescent="0.25">
      <c r="A534" s="307">
        <v>11</v>
      </c>
      <c r="B534" s="307" t="s">
        <v>82</v>
      </c>
      <c r="C534" s="253" t="s">
        <v>48</v>
      </c>
      <c r="D534" s="309">
        <v>0.56944444444444442</v>
      </c>
      <c r="E534" s="253" t="s">
        <v>72</v>
      </c>
      <c r="F534" s="311">
        <v>0.57638888888888895</v>
      </c>
      <c r="G534" s="313" t="s">
        <v>137</v>
      </c>
      <c r="H534" s="315">
        <v>1</v>
      </c>
      <c r="I534" s="8"/>
      <c r="J534" s="8"/>
      <c r="K534" s="8"/>
      <c r="L534" s="8"/>
      <c r="M534" s="8"/>
      <c r="N534" s="8"/>
      <c r="O534" s="8"/>
      <c r="P534" s="8"/>
      <c r="Q534" s="8"/>
      <c r="R534" s="8"/>
      <c r="S534" s="8"/>
      <c r="T534" s="82"/>
    </row>
    <row r="535" spans="1:20" ht="13.5" customHeight="1" x14ac:dyDescent="0.25">
      <c r="A535" s="308"/>
      <c r="B535" s="308"/>
      <c r="C535" s="171" t="str">
        <f>IFERROR(VLOOKUP(C534,Списки!$E:$F,2,0)," ")</f>
        <v>SHKOLNAYA ST 108</v>
      </c>
      <c r="D535" s="310"/>
      <c r="E535" s="171" t="str">
        <f>IFERROR(VLOOKUP(E534,Списки!$E:$F,2,0)," ")</f>
        <v>SAVUSHKINA ST 126</v>
      </c>
      <c r="F535" s="312"/>
      <c r="G535" s="314"/>
      <c r="H535" s="315"/>
      <c r="I535" s="8"/>
      <c r="J535" s="8"/>
      <c r="K535" s="8"/>
      <c r="L535" s="8"/>
      <c r="M535" s="8"/>
      <c r="N535" s="8"/>
      <c r="O535" s="8"/>
      <c r="P535" s="8"/>
      <c r="Q535" s="8"/>
      <c r="R535" s="8"/>
      <c r="S535" s="8"/>
      <c r="T535" s="82"/>
    </row>
    <row r="536" spans="1:20" ht="13.5" customHeight="1" x14ac:dyDescent="0.25">
      <c r="A536" s="307">
        <v>12</v>
      </c>
      <c r="B536" s="307"/>
      <c r="C536" s="253" t="s">
        <v>72</v>
      </c>
      <c r="D536" s="309">
        <v>0.58333333333333337</v>
      </c>
      <c r="E536" s="253" t="s">
        <v>44</v>
      </c>
      <c r="F536" s="311">
        <v>0.625</v>
      </c>
      <c r="G536" s="313"/>
      <c r="H536" s="315">
        <v>18</v>
      </c>
      <c r="I536" s="8"/>
      <c r="J536" s="8"/>
      <c r="K536" s="8"/>
      <c r="L536" s="8"/>
      <c r="M536" s="8"/>
      <c r="N536" s="8"/>
      <c r="O536" s="8"/>
      <c r="P536" s="8"/>
      <c r="Q536" s="8"/>
      <c r="R536" s="8"/>
      <c r="S536" s="8"/>
      <c r="T536" s="82"/>
    </row>
    <row r="537" spans="1:20" ht="13.5" customHeight="1" x14ac:dyDescent="0.25">
      <c r="A537" s="308"/>
      <c r="B537" s="308"/>
      <c r="C537" s="171" t="str">
        <f>IFERROR(VLOOKUP(C536,Списки!$E:$F,2,0)," ")</f>
        <v>SAVUSHKINA ST 126</v>
      </c>
      <c r="D537" s="310"/>
      <c r="E537" s="171" t="str">
        <f>IFERROR(VLOOKUP(E536,Списки!$E:$F,2,0)," ")</f>
        <v>LEVASHOVSKOE HWY 20</v>
      </c>
      <c r="F537" s="312"/>
      <c r="G537" s="314"/>
      <c r="H537" s="315"/>
      <c r="I537" s="8"/>
      <c r="J537" s="8"/>
      <c r="K537" s="8"/>
      <c r="L537" s="8"/>
      <c r="M537" s="8"/>
      <c r="N537" s="8"/>
      <c r="O537" s="8"/>
      <c r="P537" s="8"/>
      <c r="Q537" s="8"/>
      <c r="R537" s="8"/>
      <c r="S537" s="8"/>
      <c r="T537" s="82"/>
    </row>
    <row r="538" spans="1:20" ht="13.5" customHeight="1" x14ac:dyDescent="0.25">
      <c r="A538" s="307">
        <v>13</v>
      </c>
      <c r="B538" s="307"/>
      <c r="C538" s="253" t="s">
        <v>44</v>
      </c>
      <c r="D538" s="309">
        <v>0.70833333333333337</v>
      </c>
      <c r="E538" s="253" t="s">
        <v>45</v>
      </c>
      <c r="F538" s="311"/>
      <c r="G538" s="313"/>
      <c r="H538" s="315">
        <v>16</v>
      </c>
      <c r="I538" s="8"/>
      <c r="J538" s="8"/>
      <c r="K538" s="8"/>
      <c r="L538" s="8"/>
      <c r="M538" s="8"/>
      <c r="N538" s="8"/>
      <c r="O538" s="8"/>
      <c r="P538" s="8"/>
      <c r="Q538" s="8"/>
      <c r="R538" s="8"/>
      <c r="S538" s="8"/>
      <c r="T538" s="82"/>
    </row>
    <row r="539" spans="1:20" ht="13.5" customHeight="1" x14ac:dyDescent="0.25">
      <c r="A539" s="308"/>
      <c r="B539" s="308"/>
      <c r="C539" s="171" t="str">
        <f>IFERROR(VLOOKUP(C538,Списки!$E:$F,2,0)," ")</f>
        <v>LEVASHOVSKOE HWY 20</v>
      </c>
      <c r="D539" s="310"/>
      <c r="E539" s="171" t="str">
        <f>IFERROR(VLOOKUP(E538,Списки!$E:$F,2,0)," ")</f>
        <v>SAVUSHKINA ST 128</v>
      </c>
      <c r="F539" s="312"/>
      <c r="G539" s="314"/>
      <c r="H539" s="315"/>
      <c r="I539" s="8"/>
      <c r="J539" s="8"/>
      <c r="K539" s="8"/>
      <c r="L539" s="8"/>
      <c r="M539" s="8"/>
      <c r="N539" s="8"/>
      <c r="O539" s="8"/>
      <c r="P539" s="8"/>
      <c r="Q539" s="8"/>
      <c r="R539" s="8"/>
      <c r="S539" s="8"/>
      <c r="T539" s="82"/>
    </row>
    <row r="540" spans="1:20" ht="13.5" customHeight="1" x14ac:dyDescent="0.25">
      <c r="A540" s="307">
        <v>14</v>
      </c>
      <c r="B540" s="307"/>
      <c r="C540" s="170"/>
      <c r="D540" s="309"/>
      <c r="E540" s="170"/>
      <c r="F540" s="311"/>
      <c r="G540" s="313"/>
      <c r="H540" s="315"/>
      <c r="I540" s="8"/>
      <c r="J540" s="8"/>
      <c r="K540" s="8"/>
      <c r="L540" s="8"/>
      <c r="M540" s="8"/>
      <c r="N540" s="8"/>
      <c r="O540" s="8"/>
      <c r="P540" s="8"/>
      <c r="Q540" s="8"/>
      <c r="R540" s="8"/>
      <c r="S540" s="8"/>
      <c r="T540" s="82"/>
    </row>
    <row r="541" spans="1:20" ht="13.5" customHeight="1" x14ac:dyDescent="0.25">
      <c r="A541" s="308"/>
      <c r="B541" s="308"/>
      <c r="C541" s="171" t="str">
        <f>IFERROR(VLOOKUP(C540,Списки!$E:$F,2,0)," ")</f>
        <v xml:space="preserve"> </v>
      </c>
      <c r="D541" s="310"/>
      <c r="E541" s="171" t="str">
        <f>IFERROR(VLOOKUP(E540,Списки!$E:$F,2,0)," ")</f>
        <v xml:space="preserve"> </v>
      </c>
      <c r="F541" s="312"/>
      <c r="G541" s="314"/>
      <c r="H541" s="315"/>
      <c r="I541" s="8"/>
      <c r="J541" s="8"/>
      <c r="K541" s="8"/>
      <c r="L541" s="8"/>
      <c r="M541" s="8"/>
      <c r="N541" s="8"/>
      <c r="O541" s="8"/>
      <c r="P541" s="8"/>
      <c r="Q541" s="8"/>
      <c r="R541" s="8"/>
      <c r="S541" s="8"/>
      <c r="T541" s="82"/>
    </row>
    <row r="542" spans="1:20" ht="13.5" customHeight="1" x14ac:dyDescent="0.25">
      <c r="A542" s="307">
        <v>15</v>
      </c>
      <c r="B542" s="307"/>
      <c r="C542" s="170"/>
      <c r="D542" s="309"/>
      <c r="E542" s="170"/>
      <c r="F542" s="311"/>
      <c r="G542" s="313"/>
      <c r="H542" s="315"/>
      <c r="I542" s="8"/>
      <c r="J542" s="8"/>
      <c r="K542" s="8"/>
      <c r="L542" s="8"/>
      <c r="M542" s="8"/>
      <c r="N542" s="8"/>
      <c r="O542" s="8"/>
      <c r="P542" s="8"/>
      <c r="Q542" s="8"/>
      <c r="R542" s="8"/>
      <c r="S542" s="8"/>
      <c r="T542" s="82"/>
    </row>
    <row r="543" spans="1:20" ht="13.5" customHeight="1" x14ac:dyDescent="0.25">
      <c r="A543" s="308"/>
      <c r="B543" s="308"/>
      <c r="C543" s="171" t="str">
        <f>IFERROR(VLOOKUP(C542,Списки!$E:$F,2,0)," ")</f>
        <v xml:space="preserve"> </v>
      </c>
      <c r="D543" s="310"/>
      <c r="E543" s="171" t="str">
        <f>IFERROR(VLOOKUP(E542,Списки!$E:$F,2,0)," ")</f>
        <v xml:space="preserve"> </v>
      </c>
      <c r="F543" s="312"/>
      <c r="G543" s="314"/>
      <c r="H543" s="315"/>
      <c r="I543" s="8"/>
      <c r="J543" s="8"/>
      <c r="K543" s="8"/>
      <c r="L543" s="8"/>
      <c r="M543" s="8"/>
      <c r="N543" s="8"/>
      <c r="O543" s="8"/>
      <c r="P543" s="8"/>
      <c r="Q543" s="8"/>
      <c r="R543" s="8"/>
      <c r="S543" s="8"/>
      <c r="T543" s="82"/>
    </row>
    <row r="544" spans="1:20" x14ac:dyDescent="0.25">
      <c r="A544" s="36"/>
      <c r="B544" s="37"/>
      <c r="C544" s="173"/>
      <c r="D544" s="173"/>
      <c r="E544" s="174" t="s">
        <v>30</v>
      </c>
      <c r="F544" s="39">
        <f>IFERROR(SUM(IFERROR(IF((LOOKUP(9E+307,F514:F543))&gt;$M$39,(LOOKUP(9E+307,F514:F543))-$M$39,IF((LOOKUP(9E+307,F514:F543))&lt;0.166666667,0+(LOOKUP(9E+307,F514:F543))+1-$M$39,0)),0),(IF(AND(IF(D514,$M$38-D514,0)&gt;0,F514,F514&gt;D514),$M$38-D514,IF(AND(D514,F514,D514&gt;F514),"error",0)))),"ОШИБКА")</f>
        <v>4.8611111111111105E-2</v>
      </c>
      <c r="G544" s="40" t="s">
        <v>27</v>
      </c>
      <c r="H544" s="206">
        <f>SUM(H514:H543)</f>
        <v>103</v>
      </c>
      <c r="I544" s="8"/>
      <c r="J544" s="8"/>
      <c r="K544" s="8"/>
      <c r="L544" s="8"/>
      <c r="M544" s="8"/>
      <c r="N544" s="8"/>
      <c r="O544" s="8"/>
      <c r="P544" s="8"/>
      <c r="Q544" s="8"/>
      <c r="R544" s="8"/>
      <c r="S544" s="8"/>
      <c r="T544" s="82"/>
    </row>
    <row r="545" spans="1:20" ht="15.75" x14ac:dyDescent="0.25">
      <c r="A545" s="316">
        <f>DATE(K1,J1,17)</f>
        <v>43847</v>
      </c>
      <c r="B545" s="316"/>
      <c r="C545" s="316"/>
      <c r="D545" s="316"/>
      <c r="E545" s="316"/>
      <c r="F545" s="316"/>
      <c r="G545" s="316"/>
      <c r="H545" s="316"/>
      <c r="I545" s="8"/>
      <c r="J545" s="8"/>
      <c r="K545" s="8"/>
      <c r="L545" s="8"/>
      <c r="M545" s="8"/>
      <c r="N545" s="8"/>
      <c r="O545" s="8"/>
      <c r="P545" s="8"/>
      <c r="Q545" s="8"/>
      <c r="R545" s="8"/>
      <c r="S545" s="8"/>
      <c r="T545" s="82"/>
    </row>
    <row r="546" spans="1:20" ht="13.5" customHeight="1" x14ac:dyDescent="0.25">
      <c r="A546" s="318"/>
      <c r="B546" s="320" t="s">
        <v>34</v>
      </c>
      <c r="C546" s="205" t="s">
        <v>39</v>
      </c>
      <c r="D546" s="322" t="s">
        <v>36</v>
      </c>
      <c r="E546" s="205" t="s">
        <v>37</v>
      </c>
      <c r="F546" s="320" t="s">
        <v>36</v>
      </c>
      <c r="G546" s="324" t="s">
        <v>35</v>
      </c>
      <c r="H546" s="315" t="s">
        <v>40</v>
      </c>
      <c r="I546" s="8"/>
      <c r="J546" s="8"/>
      <c r="K546" s="8"/>
      <c r="L546" s="8"/>
      <c r="M546" s="8"/>
      <c r="N546" s="8"/>
      <c r="O546" s="8"/>
      <c r="P546" s="8"/>
      <c r="Q546" s="8"/>
      <c r="R546" s="8"/>
      <c r="S546" s="8"/>
      <c r="T546" s="82"/>
    </row>
    <row r="547" spans="1:20" ht="13.5" customHeight="1" x14ac:dyDescent="0.25">
      <c r="A547" s="319"/>
      <c r="B547" s="321"/>
      <c r="C547" s="204" t="s">
        <v>38</v>
      </c>
      <c r="D547" s="323"/>
      <c r="E547" s="204" t="s">
        <v>38</v>
      </c>
      <c r="F547" s="321"/>
      <c r="G547" s="325"/>
      <c r="H547" s="315"/>
      <c r="I547" s="8"/>
      <c r="J547" s="8"/>
      <c r="K547" s="8"/>
      <c r="L547" s="8"/>
      <c r="M547" s="8"/>
      <c r="N547" s="8"/>
      <c r="O547" s="8"/>
      <c r="P547" s="8"/>
      <c r="Q547" s="8"/>
      <c r="R547" s="8"/>
      <c r="S547" s="8"/>
      <c r="T547" s="82"/>
    </row>
    <row r="548" spans="1:20" ht="13.5" customHeight="1" x14ac:dyDescent="0.25">
      <c r="A548" s="307">
        <v>1</v>
      </c>
      <c r="B548" s="307" t="s">
        <v>141</v>
      </c>
      <c r="C548" s="249" t="s">
        <v>43</v>
      </c>
      <c r="D548" s="326">
        <v>0.2638888888888889</v>
      </c>
      <c r="E548" s="249" t="s">
        <v>56</v>
      </c>
      <c r="F548" s="326">
        <v>0.27777777777777779</v>
      </c>
      <c r="G548" s="307"/>
      <c r="H548" s="307">
        <v>11</v>
      </c>
      <c r="I548" s="8"/>
      <c r="J548" s="8"/>
      <c r="K548" s="8"/>
      <c r="L548" s="8"/>
      <c r="M548" s="8"/>
      <c r="N548" s="8"/>
      <c r="O548" s="8"/>
      <c r="P548" s="8"/>
      <c r="Q548" s="8"/>
      <c r="R548" s="8"/>
      <c r="S548" s="8"/>
      <c r="T548" s="82"/>
    </row>
    <row r="549" spans="1:20" ht="13.5" customHeight="1" x14ac:dyDescent="0.25">
      <c r="A549" s="308"/>
      <c r="B549" s="308"/>
      <c r="C549" s="250" t="s">
        <v>301</v>
      </c>
      <c r="D549" s="327"/>
      <c r="E549" s="251" t="s">
        <v>299</v>
      </c>
      <c r="F549" s="327"/>
      <c r="G549" s="308"/>
      <c r="H549" s="308"/>
      <c r="I549" s="8"/>
      <c r="J549" s="8"/>
      <c r="K549" s="8"/>
      <c r="L549" s="8"/>
      <c r="M549" s="8"/>
      <c r="N549" s="8"/>
      <c r="O549" s="8"/>
      <c r="P549" s="8"/>
      <c r="Q549" s="8"/>
      <c r="R549" s="8"/>
      <c r="S549" s="8"/>
      <c r="T549" s="82"/>
    </row>
    <row r="550" spans="1:20" ht="13.5" customHeight="1" x14ac:dyDescent="0.25">
      <c r="A550" s="307">
        <v>2</v>
      </c>
      <c r="B550" s="307"/>
      <c r="C550" s="249" t="s">
        <v>56</v>
      </c>
      <c r="D550" s="326">
        <v>0.28819444444444448</v>
      </c>
      <c r="E550" s="249" t="s">
        <v>60</v>
      </c>
      <c r="F550" s="326">
        <v>0.2951388888888889</v>
      </c>
      <c r="G550" s="307"/>
      <c r="H550" s="307">
        <v>5</v>
      </c>
      <c r="I550" s="8"/>
      <c r="J550" s="8"/>
      <c r="K550" s="8"/>
      <c r="L550" s="8"/>
      <c r="M550" s="8"/>
      <c r="N550" s="8"/>
      <c r="O550" s="8"/>
      <c r="P550" s="8"/>
      <c r="Q550" s="8"/>
      <c r="R550" s="8"/>
      <c r="S550" s="8"/>
      <c r="T550" s="82"/>
    </row>
    <row r="551" spans="1:20" ht="13.5" customHeight="1" x14ac:dyDescent="0.25">
      <c r="A551" s="308"/>
      <c r="B551" s="308"/>
      <c r="C551" s="251" t="s">
        <v>299</v>
      </c>
      <c r="D551" s="327"/>
      <c r="E551" s="251" t="s">
        <v>298</v>
      </c>
      <c r="F551" s="327"/>
      <c r="G551" s="308"/>
      <c r="H551" s="308"/>
      <c r="I551" s="8"/>
      <c r="J551" s="8"/>
      <c r="K551" s="8"/>
      <c r="L551" s="8"/>
      <c r="M551" s="8"/>
      <c r="N551" s="8"/>
      <c r="O551" s="8"/>
      <c r="P551" s="8"/>
      <c r="Q551" s="8"/>
      <c r="R551" s="8"/>
      <c r="S551" s="8"/>
      <c r="T551" s="82"/>
    </row>
    <row r="552" spans="1:20" ht="13.5" customHeight="1" x14ac:dyDescent="0.25">
      <c r="A552" s="307">
        <v>3</v>
      </c>
      <c r="B552" s="307"/>
      <c r="C552" s="249" t="s">
        <v>60</v>
      </c>
      <c r="D552" s="326">
        <v>0.2951388888888889</v>
      </c>
      <c r="E552" s="249" t="s">
        <v>44</v>
      </c>
      <c r="F552" s="326">
        <v>0.30902777777777779</v>
      </c>
      <c r="G552" s="307"/>
      <c r="H552" s="307">
        <v>24</v>
      </c>
      <c r="I552" s="8"/>
      <c r="J552" s="8"/>
      <c r="K552" s="8"/>
      <c r="L552" s="8"/>
      <c r="M552" s="8"/>
      <c r="N552" s="8"/>
      <c r="O552" s="8"/>
      <c r="P552" s="8"/>
      <c r="Q552" s="8"/>
      <c r="R552" s="8"/>
      <c r="S552" s="8"/>
      <c r="T552" s="82"/>
    </row>
    <row r="553" spans="1:20" ht="13.5" customHeight="1" x14ac:dyDescent="0.25">
      <c r="A553" s="308"/>
      <c r="B553" s="308"/>
      <c r="C553" s="251" t="s">
        <v>298</v>
      </c>
      <c r="D553" s="327"/>
      <c r="E553" s="250" t="s">
        <v>297</v>
      </c>
      <c r="F553" s="327"/>
      <c r="G553" s="308"/>
      <c r="H553" s="308"/>
      <c r="I553" s="8"/>
      <c r="J553" s="8"/>
      <c r="K553" s="8"/>
      <c r="L553" s="8"/>
      <c r="M553" s="8"/>
      <c r="N553" s="8"/>
      <c r="O553" s="8"/>
      <c r="P553" s="8"/>
      <c r="Q553" s="8"/>
      <c r="R553" s="8"/>
      <c r="S553" s="8"/>
      <c r="T553" s="82"/>
    </row>
    <row r="554" spans="1:20" ht="13.5" customHeight="1" x14ac:dyDescent="0.25">
      <c r="A554" s="307">
        <v>4</v>
      </c>
      <c r="B554" s="307" t="s">
        <v>135</v>
      </c>
      <c r="C554" s="249" t="s">
        <v>44</v>
      </c>
      <c r="D554" s="309">
        <v>0.38194444444444442</v>
      </c>
      <c r="E554" s="170"/>
      <c r="F554" s="311">
        <v>0.39583333333333331</v>
      </c>
      <c r="G554" s="313" t="s">
        <v>92</v>
      </c>
      <c r="H554" s="315">
        <v>16</v>
      </c>
      <c r="I554" s="8"/>
      <c r="J554" s="8"/>
      <c r="K554" s="8"/>
      <c r="L554" s="8"/>
      <c r="M554" s="8"/>
      <c r="N554" s="8"/>
      <c r="O554" s="8"/>
      <c r="P554" s="8"/>
      <c r="Q554" s="8"/>
      <c r="R554" s="8"/>
      <c r="S554" s="8"/>
      <c r="T554" s="82"/>
    </row>
    <row r="555" spans="1:20" ht="13.5" customHeight="1" x14ac:dyDescent="0.25">
      <c r="A555" s="308"/>
      <c r="B555" s="308"/>
      <c r="C555" s="171" t="str">
        <f>IFERROR(VLOOKUP(C554,Списки!$E:$F,2,0)," ")</f>
        <v>LEVASHOVSKOE HWY 20</v>
      </c>
      <c r="D555" s="310"/>
      <c r="E555" s="255" t="s">
        <v>393</v>
      </c>
      <c r="F555" s="312"/>
      <c r="G555" s="314"/>
      <c r="H555" s="315"/>
      <c r="I555" s="8"/>
      <c r="J555" s="8"/>
      <c r="K555" s="8"/>
      <c r="L555" s="8"/>
      <c r="M555" s="8"/>
      <c r="N555" s="8"/>
      <c r="O555" s="8"/>
      <c r="P555" s="8"/>
      <c r="Q555" s="8"/>
      <c r="R555" s="8"/>
      <c r="S555" s="8"/>
      <c r="T555" s="82"/>
    </row>
    <row r="556" spans="1:20" ht="13.5" customHeight="1" x14ac:dyDescent="0.25">
      <c r="A556" s="307">
        <v>5</v>
      </c>
      <c r="B556" s="307"/>
      <c r="C556" s="170"/>
      <c r="D556" s="309">
        <v>0.45833333333333331</v>
      </c>
      <c r="E556" s="249" t="s">
        <v>44</v>
      </c>
      <c r="F556" s="311">
        <v>0.47222222222222227</v>
      </c>
      <c r="G556" s="313"/>
      <c r="H556" s="315">
        <v>19</v>
      </c>
      <c r="I556" s="8"/>
      <c r="J556" s="8"/>
      <c r="K556" s="8"/>
      <c r="L556" s="8"/>
      <c r="M556" s="8"/>
      <c r="N556" s="8"/>
      <c r="O556" s="8"/>
      <c r="P556" s="8"/>
      <c r="Q556" s="8"/>
      <c r="R556" s="8"/>
      <c r="S556" s="8"/>
      <c r="T556" s="82"/>
    </row>
    <row r="557" spans="1:20" ht="13.5" customHeight="1" x14ac:dyDescent="0.25">
      <c r="A557" s="308"/>
      <c r="B557" s="308"/>
      <c r="C557" s="255" t="s">
        <v>393</v>
      </c>
      <c r="D557" s="310"/>
      <c r="E557" s="172" t="str">
        <f>IFERROR(VLOOKUP(E556,Списки!$E:$F,2,0)," ")</f>
        <v>LEVASHOVSKOE HWY 20</v>
      </c>
      <c r="F557" s="312"/>
      <c r="G557" s="314"/>
      <c r="H557" s="315"/>
      <c r="I557" s="8"/>
      <c r="J557" s="8"/>
      <c r="K557" s="8"/>
      <c r="L557" s="8"/>
      <c r="M557" s="8"/>
      <c r="N557" s="8"/>
      <c r="O557" s="8"/>
      <c r="P557" s="8"/>
      <c r="Q557" s="8"/>
      <c r="R557" s="8"/>
      <c r="S557" s="8"/>
      <c r="T557" s="82"/>
    </row>
    <row r="558" spans="1:20" ht="13.5" customHeight="1" x14ac:dyDescent="0.25">
      <c r="A558" s="307">
        <v>6</v>
      </c>
      <c r="B558" s="307" t="s">
        <v>83</v>
      </c>
      <c r="C558" s="249" t="s">
        <v>44</v>
      </c>
      <c r="D558" s="309">
        <v>0.47916666666666669</v>
      </c>
      <c r="E558" s="256" t="s">
        <v>74</v>
      </c>
      <c r="F558" s="311">
        <v>0.5</v>
      </c>
      <c r="G558" s="313" t="s">
        <v>137</v>
      </c>
      <c r="H558" s="315">
        <v>27</v>
      </c>
      <c r="I558" s="8"/>
      <c r="J558" s="8"/>
      <c r="K558" s="8"/>
      <c r="L558" s="8"/>
      <c r="M558" s="8"/>
      <c r="N558" s="8"/>
      <c r="O558" s="8"/>
      <c r="P558" s="8"/>
      <c r="Q558" s="8"/>
      <c r="R558" s="8"/>
      <c r="S558" s="8"/>
      <c r="T558" s="82"/>
    </row>
    <row r="559" spans="1:20" ht="13.5" customHeight="1" x14ac:dyDescent="0.25">
      <c r="A559" s="308"/>
      <c r="B559" s="308"/>
      <c r="C559" s="171" t="str">
        <f>IFERROR(VLOOKUP(C558,Списки!$E:$F,2,0)," ")</f>
        <v>LEVASHOVSKOE HWY 20</v>
      </c>
      <c r="D559" s="310"/>
      <c r="E559" s="179" t="str">
        <f>IFERROR(VLOOKUP(E558,Списки!$E:$F,2,0)," ")</f>
        <v>ITALYANSKAYA ST 5</v>
      </c>
      <c r="F559" s="312"/>
      <c r="G559" s="314"/>
      <c r="H559" s="315"/>
      <c r="I559" s="8"/>
      <c r="J559" s="8"/>
      <c r="K559" s="8"/>
      <c r="L559" s="8"/>
      <c r="M559" s="8"/>
      <c r="N559" s="8"/>
      <c r="O559" s="8"/>
      <c r="P559" s="8"/>
      <c r="Q559" s="8"/>
      <c r="R559" s="8"/>
      <c r="S559" s="8"/>
      <c r="T559" s="82"/>
    </row>
    <row r="560" spans="1:20" ht="13.5" customHeight="1" x14ac:dyDescent="0.25">
      <c r="A560" s="307">
        <v>7</v>
      </c>
      <c r="B560" s="307" t="s">
        <v>142</v>
      </c>
      <c r="C560" s="256" t="s">
        <v>74</v>
      </c>
      <c r="D560" s="309">
        <v>0.50694444444444442</v>
      </c>
      <c r="E560" s="256" t="s">
        <v>58</v>
      </c>
      <c r="F560" s="311">
        <v>0.52083333333333337</v>
      </c>
      <c r="G560" s="313"/>
      <c r="H560" s="315">
        <v>5</v>
      </c>
      <c r="I560" s="8"/>
      <c r="J560" s="8"/>
      <c r="K560" s="8"/>
      <c r="L560" s="8"/>
      <c r="M560" s="8"/>
      <c r="N560" s="8"/>
      <c r="O560" s="8"/>
      <c r="P560" s="8"/>
      <c r="Q560" s="8"/>
      <c r="R560" s="8"/>
      <c r="S560" s="8"/>
      <c r="T560" s="82"/>
    </row>
    <row r="561" spans="1:20" ht="13.5" customHeight="1" x14ac:dyDescent="0.25">
      <c r="A561" s="308"/>
      <c r="B561" s="308"/>
      <c r="C561" s="179" t="str">
        <f>IFERROR(VLOOKUP(C560,Списки!$E:$F,2,0)," ")</f>
        <v>ITALYANSKAYA ST 5</v>
      </c>
      <c r="D561" s="310"/>
      <c r="E561" s="171" t="str">
        <f>IFERROR(VLOOKUP(E560,Списки!$E:$F,2,0)," ")</f>
        <v>PIONERSKAYA ST 16</v>
      </c>
      <c r="F561" s="312"/>
      <c r="G561" s="314"/>
      <c r="H561" s="315"/>
      <c r="I561" s="8"/>
      <c r="J561" s="8"/>
      <c r="K561" s="8"/>
      <c r="L561" s="8"/>
      <c r="M561" s="8"/>
      <c r="N561" s="8"/>
      <c r="O561" s="8"/>
      <c r="P561" s="8"/>
      <c r="Q561" s="8"/>
      <c r="R561" s="8"/>
      <c r="S561" s="8"/>
      <c r="T561" s="82"/>
    </row>
    <row r="562" spans="1:20" ht="13.5" customHeight="1" x14ac:dyDescent="0.25">
      <c r="A562" s="307">
        <v>8</v>
      </c>
      <c r="B562" s="307"/>
      <c r="C562" s="256" t="s">
        <v>58</v>
      </c>
      <c r="D562" s="309">
        <v>0.52083333333333337</v>
      </c>
      <c r="E562" s="256" t="s">
        <v>44</v>
      </c>
      <c r="F562" s="311">
        <v>0.5625</v>
      </c>
      <c r="G562" s="313"/>
      <c r="H562" s="315">
        <v>23</v>
      </c>
      <c r="I562" s="8"/>
      <c r="J562" s="8"/>
      <c r="K562" s="8"/>
      <c r="L562" s="8"/>
      <c r="M562" s="8"/>
      <c r="N562" s="8"/>
      <c r="O562" s="8"/>
      <c r="P562" s="8"/>
      <c r="Q562" s="8"/>
      <c r="R562" s="8"/>
      <c r="S562" s="8"/>
      <c r="T562" s="82"/>
    </row>
    <row r="563" spans="1:20" ht="13.5" customHeight="1" x14ac:dyDescent="0.25">
      <c r="A563" s="308"/>
      <c r="B563" s="308"/>
      <c r="C563" s="179" t="str">
        <f>IFERROR(VLOOKUP(C562,Списки!$E:$F,2,0)," ")</f>
        <v>PIONERSKAYA ST 16</v>
      </c>
      <c r="D563" s="310"/>
      <c r="E563" s="171" t="str">
        <f>IFERROR(VLOOKUP(E562,Списки!$E:$F,2,0)," ")</f>
        <v>LEVASHOVSKOE HWY 20</v>
      </c>
      <c r="F563" s="312"/>
      <c r="G563" s="314"/>
      <c r="H563" s="315"/>
      <c r="I563" s="8"/>
      <c r="J563" s="8"/>
      <c r="K563" s="8"/>
      <c r="L563" s="8"/>
      <c r="M563" s="8"/>
      <c r="N563" s="8"/>
      <c r="O563" s="8"/>
      <c r="P563" s="8"/>
      <c r="Q563" s="8"/>
      <c r="R563" s="8"/>
      <c r="S563" s="8"/>
      <c r="T563" s="82"/>
    </row>
    <row r="564" spans="1:20" ht="13.5" customHeight="1" x14ac:dyDescent="0.25">
      <c r="A564" s="307">
        <v>9</v>
      </c>
      <c r="B564" s="307" t="s">
        <v>140</v>
      </c>
      <c r="C564" s="256" t="s">
        <v>44</v>
      </c>
      <c r="D564" s="309">
        <v>0.73611111111111116</v>
      </c>
      <c r="E564" s="257" t="s">
        <v>274</v>
      </c>
      <c r="F564" s="311">
        <v>0.75</v>
      </c>
      <c r="G564" s="313"/>
      <c r="H564" s="315">
        <v>11</v>
      </c>
      <c r="I564" s="8"/>
      <c r="J564" s="8"/>
      <c r="K564" s="8"/>
      <c r="L564" s="8"/>
      <c r="M564" s="8"/>
      <c r="N564" s="8"/>
      <c r="O564" s="8"/>
      <c r="P564" s="8"/>
      <c r="Q564" s="8"/>
      <c r="R564" s="8"/>
      <c r="S564" s="8"/>
      <c r="T564" s="82"/>
    </row>
    <row r="565" spans="1:20" ht="13.5" customHeight="1" x14ac:dyDescent="0.25">
      <c r="A565" s="308"/>
      <c r="B565" s="308"/>
      <c r="C565" s="171" t="str">
        <f>IFERROR(VLOOKUP(C564,Списки!$E:$F,2,0)," ")</f>
        <v>LEVASHOVSKOE HWY 20</v>
      </c>
      <c r="D565" s="310"/>
      <c r="E565" s="171" t="str">
        <f>IFERROR(VLOOKUP(E564,Списки!$E:$F,2,0)," ")</f>
        <v>KONNOLAKHTINSKIY AVE 4</v>
      </c>
      <c r="F565" s="312"/>
      <c r="G565" s="314"/>
      <c r="H565" s="315"/>
      <c r="I565" s="8"/>
      <c r="J565" s="8"/>
      <c r="K565" s="8"/>
      <c r="L565" s="8"/>
      <c r="M565" s="8"/>
      <c r="N565" s="8"/>
      <c r="O565" s="8"/>
      <c r="P565" s="8"/>
      <c r="Q565" s="8"/>
      <c r="R565" s="8"/>
      <c r="S565" s="8"/>
      <c r="T565" s="82"/>
    </row>
    <row r="566" spans="1:20" ht="13.5" customHeight="1" x14ac:dyDescent="0.25">
      <c r="A566" s="307">
        <v>10</v>
      </c>
      <c r="B566" s="307"/>
      <c r="C566" s="257" t="s">
        <v>274</v>
      </c>
      <c r="D566" s="309">
        <v>0.75</v>
      </c>
      <c r="E566" s="256" t="s">
        <v>45</v>
      </c>
      <c r="F566" s="311">
        <v>0.75694444444444453</v>
      </c>
      <c r="G566" s="313"/>
      <c r="H566" s="315">
        <v>5</v>
      </c>
      <c r="I566" s="8"/>
      <c r="J566" s="8"/>
      <c r="K566" s="8"/>
      <c r="L566" s="8"/>
      <c r="M566" s="8"/>
      <c r="N566" s="8"/>
      <c r="O566" s="8"/>
      <c r="P566" s="8"/>
      <c r="Q566" s="8"/>
      <c r="R566" s="8"/>
      <c r="S566" s="8"/>
      <c r="T566" s="82"/>
    </row>
    <row r="567" spans="1:20" ht="13.5" customHeight="1" x14ac:dyDescent="0.25">
      <c r="A567" s="308"/>
      <c r="B567" s="308"/>
      <c r="C567" s="171" t="str">
        <f>IFERROR(VLOOKUP(C566,Списки!$E:$F,2,0)," ")</f>
        <v>KONNOLAKHTINSKIY AVE 4</v>
      </c>
      <c r="D567" s="310"/>
      <c r="E567" s="171" t="str">
        <f>IFERROR(VLOOKUP(E566,Списки!$E:$F,2,0)," ")</f>
        <v>SAVUSHKINA ST 128</v>
      </c>
      <c r="F567" s="312"/>
      <c r="G567" s="314"/>
      <c r="H567" s="315"/>
      <c r="I567" s="8"/>
      <c r="J567" s="8"/>
      <c r="K567" s="8"/>
      <c r="L567" s="8"/>
      <c r="M567" s="8"/>
      <c r="N567" s="8"/>
      <c r="O567" s="8"/>
      <c r="P567" s="8"/>
      <c r="Q567" s="8"/>
      <c r="R567" s="8"/>
      <c r="S567" s="8"/>
      <c r="T567" s="82"/>
    </row>
    <row r="568" spans="1:20" ht="13.5" customHeight="1" x14ac:dyDescent="0.25">
      <c r="A568" s="307">
        <v>11</v>
      </c>
      <c r="B568" s="307"/>
      <c r="C568" s="170"/>
      <c r="D568" s="309"/>
      <c r="E568" s="170"/>
      <c r="F568" s="311"/>
      <c r="G568" s="313"/>
      <c r="H568" s="315"/>
      <c r="I568" s="8"/>
      <c r="J568" s="8"/>
      <c r="K568" s="8"/>
      <c r="L568" s="8"/>
      <c r="M568" s="8"/>
      <c r="N568" s="8"/>
      <c r="O568" s="8"/>
      <c r="P568" s="8"/>
      <c r="Q568" s="8"/>
      <c r="R568" s="8"/>
      <c r="S568" s="8"/>
      <c r="T568" s="82"/>
    </row>
    <row r="569" spans="1:20" ht="13.5" customHeight="1" x14ac:dyDescent="0.25">
      <c r="A569" s="308"/>
      <c r="B569" s="308"/>
      <c r="C569" s="171" t="str">
        <f>IFERROR(VLOOKUP(C568,Списки!$E:$F,2,0)," ")</f>
        <v xml:space="preserve"> </v>
      </c>
      <c r="D569" s="310"/>
      <c r="E569" s="171" t="str">
        <f>IFERROR(VLOOKUP(E568,Списки!$E:$F,2,0)," ")</f>
        <v xml:space="preserve"> </v>
      </c>
      <c r="F569" s="312"/>
      <c r="G569" s="314"/>
      <c r="H569" s="315"/>
      <c r="I569" s="8"/>
      <c r="J569" s="8"/>
      <c r="K569" s="8"/>
      <c r="L569" s="8"/>
      <c r="M569" s="8"/>
      <c r="N569" s="8"/>
      <c r="O569" s="8"/>
      <c r="P569" s="8"/>
      <c r="Q569" s="8"/>
      <c r="R569" s="8"/>
      <c r="S569" s="8"/>
      <c r="T569" s="82"/>
    </row>
    <row r="570" spans="1:20" ht="13.5" customHeight="1" x14ac:dyDescent="0.25">
      <c r="A570" s="307">
        <v>12</v>
      </c>
      <c r="B570" s="307"/>
      <c r="C570" s="170"/>
      <c r="D570" s="309"/>
      <c r="E570" s="170"/>
      <c r="F570" s="311"/>
      <c r="G570" s="313"/>
      <c r="H570" s="315"/>
      <c r="I570" s="8"/>
      <c r="J570" s="8"/>
      <c r="K570" s="8"/>
      <c r="L570" s="8"/>
      <c r="M570" s="8"/>
      <c r="N570" s="8"/>
      <c r="O570" s="8"/>
      <c r="P570" s="8"/>
      <c r="Q570" s="8"/>
      <c r="R570" s="8"/>
      <c r="S570" s="8"/>
      <c r="T570" s="82"/>
    </row>
    <row r="571" spans="1:20" ht="13.5" customHeight="1" x14ac:dyDescent="0.25">
      <c r="A571" s="308"/>
      <c r="B571" s="308"/>
      <c r="C571" s="171" t="str">
        <f>IFERROR(VLOOKUP(C570,Списки!$E:$F,2,0)," ")</f>
        <v xml:space="preserve"> </v>
      </c>
      <c r="D571" s="310"/>
      <c r="E571" s="171" t="str">
        <f>IFERROR(VLOOKUP(E570,Списки!$E:$F,2,0)," ")</f>
        <v xml:space="preserve"> </v>
      </c>
      <c r="F571" s="312"/>
      <c r="G571" s="314"/>
      <c r="H571" s="315"/>
      <c r="I571" s="8"/>
      <c r="J571" s="8"/>
      <c r="K571" s="8"/>
      <c r="L571" s="8"/>
      <c r="M571" s="8"/>
      <c r="N571" s="8"/>
      <c r="O571" s="8"/>
      <c r="P571" s="8"/>
      <c r="Q571" s="8"/>
      <c r="R571" s="8"/>
      <c r="S571" s="8"/>
      <c r="T571" s="82"/>
    </row>
    <row r="572" spans="1:20" ht="13.5" customHeight="1" x14ac:dyDescent="0.25">
      <c r="A572" s="307">
        <v>13</v>
      </c>
      <c r="B572" s="307"/>
      <c r="C572" s="170"/>
      <c r="D572" s="309"/>
      <c r="E572" s="170"/>
      <c r="F572" s="311"/>
      <c r="G572" s="313"/>
      <c r="H572" s="315"/>
      <c r="I572" s="8"/>
      <c r="J572" s="8"/>
      <c r="K572" s="8"/>
      <c r="L572" s="8"/>
      <c r="M572" s="8"/>
      <c r="N572" s="8"/>
      <c r="O572" s="8"/>
      <c r="P572" s="8"/>
      <c r="Q572" s="8"/>
      <c r="R572" s="8"/>
      <c r="S572" s="8"/>
      <c r="T572" s="82"/>
    </row>
    <row r="573" spans="1:20" ht="13.5" customHeight="1" x14ac:dyDescent="0.25">
      <c r="A573" s="308"/>
      <c r="B573" s="308"/>
      <c r="C573" s="171" t="str">
        <f>IFERROR(VLOOKUP(C572,Списки!$E:$F,2,0)," ")</f>
        <v xml:space="preserve"> </v>
      </c>
      <c r="D573" s="310"/>
      <c r="E573" s="171" t="str">
        <f>IFERROR(VLOOKUP(E572,Списки!$E:$F,2,0)," ")</f>
        <v xml:space="preserve"> </v>
      </c>
      <c r="F573" s="312"/>
      <c r="G573" s="314"/>
      <c r="H573" s="315"/>
      <c r="I573" s="8"/>
      <c r="J573" s="8"/>
      <c r="K573" s="8"/>
      <c r="L573" s="8"/>
      <c r="M573" s="8"/>
      <c r="N573" s="8"/>
      <c r="O573" s="8"/>
      <c r="P573" s="8"/>
      <c r="Q573" s="8"/>
      <c r="R573" s="8"/>
      <c r="S573" s="8"/>
      <c r="T573" s="82"/>
    </row>
    <row r="574" spans="1:20" ht="13.5" customHeight="1" x14ac:dyDescent="0.25">
      <c r="A574" s="307">
        <v>14</v>
      </c>
      <c r="B574" s="307"/>
      <c r="C574" s="170"/>
      <c r="D574" s="309"/>
      <c r="E574" s="170"/>
      <c r="F574" s="311"/>
      <c r="G574" s="313"/>
      <c r="H574" s="315"/>
      <c r="I574" s="8"/>
      <c r="J574" s="8"/>
      <c r="K574" s="8"/>
      <c r="L574" s="8"/>
      <c r="M574" s="8"/>
      <c r="N574" s="8"/>
      <c r="O574" s="8"/>
      <c r="P574" s="8"/>
      <c r="Q574" s="8"/>
      <c r="R574" s="8"/>
      <c r="S574" s="8"/>
      <c r="T574" s="82"/>
    </row>
    <row r="575" spans="1:20" ht="13.5" customHeight="1" x14ac:dyDescent="0.25">
      <c r="A575" s="308"/>
      <c r="B575" s="308"/>
      <c r="C575" s="171" t="str">
        <f>IFERROR(VLOOKUP(C574,Списки!$E:$F,2,0)," ")</f>
        <v xml:space="preserve"> </v>
      </c>
      <c r="D575" s="310"/>
      <c r="E575" s="171" t="str">
        <f>IFERROR(VLOOKUP(E574,Списки!$E:$F,2,0)," ")</f>
        <v xml:space="preserve"> </v>
      </c>
      <c r="F575" s="312"/>
      <c r="G575" s="314"/>
      <c r="H575" s="315"/>
      <c r="I575" s="8"/>
      <c r="J575" s="8"/>
      <c r="K575" s="8"/>
      <c r="L575" s="8"/>
      <c r="M575" s="8"/>
      <c r="N575" s="8"/>
      <c r="O575" s="8"/>
      <c r="P575" s="8"/>
      <c r="Q575" s="8"/>
      <c r="R575" s="8"/>
      <c r="S575" s="8"/>
      <c r="T575" s="82"/>
    </row>
    <row r="576" spans="1:20" ht="13.5" customHeight="1" x14ac:dyDescent="0.25">
      <c r="A576" s="307">
        <v>15</v>
      </c>
      <c r="B576" s="307"/>
      <c r="C576" s="170"/>
      <c r="D576" s="309"/>
      <c r="E576" s="170"/>
      <c r="F576" s="311"/>
      <c r="G576" s="313"/>
      <c r="H576" s="315"/>
      <c r="I576" s="8"/>
      <c r="J576" s="8"/>
      <c r="K576" s="8"/>
      <c r="L576" s="8"/>
      <c r="M576" s="8"/>
      <c r="N576" s="8"/>
      <c r="O576" s="8"/>
      <c r="P576" s="8"/>
      <c r="Q576" s="8"/>
      <c r="R576" s="8"/>
      <c r="S576" s="8"/>
      <c r="T576" s="82"/>
    </row>
    <row r="577" spans="1:20" ht="13.5" customHeight="1" x14ac:dyDescent="0.25">
      <c r="A577" s="308"/>
      <c r="B577" s="308"/>
      <c r="C577" s="171" t="str">
        <f>IFERROR(VLOOKUP(C576,Списки!$E:$F,2,0)," ")</f>
        <v xml:space="preserve"> </v>
      </c>
      <c r="D577" s="310"/>
      <c r="E577" s="171" t="str">
        <f>IFERROR(VLOOKUP(E576,Списки!$E:$F,2,0)," ")</f>
        <v xml:space="preserve"> </v>
      </c>
      <c r="F577" s="312"/>
      <c r="G577" s="314"/>
      <c r="H577" s="315"/>
      <c r="I577" s="8"/>
      <c r="J577" s="8"/>
      <c r="K577" s="8"/>
      <c r="L577" s="8"/>
      <c r="M577" s="8"/>
      <c r="N577" s="8"/>
      <c r="O577" s="8"/>
      <c r="P577" s="8"/>
      <c r="Q577" s="8"/>
      <c r="R577" s="8"/>
      <c r="S577" s="8"/>
      <c r="T577" s="82"/>
    </row>
    <row r="578" spans="1:20" x14ac:dyDescent="0.25">
      <c r="A578" s="36"/>
      <c r="B578" s="37"/>
      <c r="C578" s="173"/>
      <c r="D578" s="173"/>
      <c r="E578" s="174" t="s">
        <v>30</v>
      </c>
      <c r="F578" s="39">
        <f>IFERROR(SUM(IFERROR(IF((LOOKUP(9E+307,F548:F577))&gt;$M$39,(LOOKUP(9E+307,F548:F577))-$M$39,IF((LOOKUP(9E+307,F548:F577))&lt;0.166666667,0+(LOOKUP(9E+307,F548:F577))+1-$M$39,0)),0),(IF(AND(IF(D548,$M$38-D548,0)&gt;0,F548,F548&gt;D548),$M$38-D548,IF(AND(D548,F548,D548&gt;F548),"error",0)))),"ОШИБКА")</f>
        <v>9.7222222222222265E-2</v>
      </c>
      <c r="G578" s="40" t="s">
        <v>27</v>
      </c>
      <c r="H578" s="206">
        <f>SUM(H548:H577)</f>
        <v>146</v>
      </c>
      <c r="I578" s="8"/>
      <c r="J578" s="8"/>
      <c r="K578" s="8"/>
      <c r="L578" s="8"/>
      <c r="M578" s="8"/>
      <c r="N578" s="8"/>
      <c r="O578" s="8"/>
      <c r="P578" s="8"/>
      <c r="Q578" s="8"/>
      <c r="R578" s="8"/>
      <c r="S578" s="8"/>
      <c r="T578" s="82"/>
    </row>
    <row r="579" spans="1:20" ht="15.75" x14ac:dyDescent="0.25">
      <c r="A579" s="316">
        <f>DATE(K1,J1,18)</f>
        <v>43848</v>
      </c>
      <c r="B579" s="316"/>
      <c r="C579" s="316"/>
      <c r="D579" s="316"/>
      <c r="E579" s="316"/>
      <c r="F579" s="316"/>
      <c r="G579" s="316"/>
      <c r="H579" s="316"/>
      <c r="I579" s="8"/>
      <c r="J579" s="8"/>
      <c r="K579" s="8"/>
      <c r="L579" s="8"/>
      <c r="M579" s="8"/>
      <c r="N579" s="8"/>
      <c r="O579" s="8"/>
      <c r="P579" s="8"/>
      <c r="Q579" s="8"/>
      <c r="R579" s="8"/>
      <c r="S579" s="8"/>
      <c r="T579" s="82"/>
    </row>
    <row r="580" spans="1:20" ht="13.5" customHeight="1" x14ac:dyDescent="0.25">
      <c r="A580" s="318"/>
      <c r="B580" s="320" t="s">
        <v>34</v>
      </c>
      <c r="C580" s="205" t="s">
        <v>39</v>
      </c>
      <c r="D580" s="322" t="s">
        <v>36</v>
      </c>
      <c r="E580" s="205" t="s">
        <v>37</v>
      </c>
      <c r="F580" s="320" t="s">
        <v>36</v>
      </c>
      <c r="G580" s="324" t="s">
        <v>35</v>
      </c>
      <c r="H580" s="315" t="s">
        <v>40</v>
      </c>
      <c r="I580" s="8"/>
      <c r="J580" s="8"/>
      <c r="K580" s="8"/>
      <c r="L580" s="8"/>
      <c r="M580" s="8"/>
      <c r="N580" s="8"/>
      <c r="O580" s="8"/>
      <c r="P580" s="8"/>
      <c r="Q580" s="8"/>
      <c r="R580" s="8"/>
      <c r="S580" s="8"/>
      <c r="T580" s="82"/>
    </row>
    <row r="581" spans="1:20" ht="13.5" customHeight="1" x14ac:dyDescent="0.25">
      <c r="A581" s="319"/>
      <c r="B581" s="321"/>
      <c r="C581" s="204" t="s">
        <v>38</v>
      </c>
      <c r="D581" s="323"/>
      <c r="E581" s="204" t="s">
        <v>38</v>
      </c>
      <c r="F581" s="321"/>
      <c r="G581" s="325"/>
      <c r="H581" s="315"/>
      <c r="I581" s="8"/>
      <c r="J581" s="8"/>
      <c r="K581" s="8"/>
      <c r="L581" s="8"/>
      <c r="M581" s="8"/>
      <c r="N581" s="8"/>
      <c r="O581" s="8"/>
      <c r="P581" s="8"/>
      <c r="Q581" s="8"/>
      <c r="R581" s="8"/>
      <c r="S581" s="8"/>
      <c r="T581" s="82"/>
    </row>
    <row r="582" spans="1:20" ht="13.5" customHeight="1" x14ac:dyDescent="0.25">
      <c r="A582" s="307">
        <v>1</v>
      </c>
      <c r="B582" s="307"/>
      <c r="C582" s="170" t="s">
        <v>43</v>
      </c>
      <c r="D582" s="309"/>
      <c r="E582" s="170" t="s">
        <v>44</v>
      </c>
      <c r="F582" s="311"/>
      <c r="G582" s="313"/>
      <c r="H582" s="315"/>
      <c r="I582" s="8"/>
      <c r="J582" s="8"/>
      <c r="K582" s="8"/>
      <c r="L582" s="8"/>
      <c r="M582" s="8"/>
      <c r="N582" s="8"/>
      <c r="O582" s="8"/>
      <c r="P582" s="8"/>
      <c r="Q582" s="8"/>
      <c r="R582" s="8"/>
      <c r="S582" s="8"/>
      <c r="T582" s="82"/>
    </row>
    <row r="583" spans="1:20" ht="13.5" customHeight="1" x14ac:dyDescent="0.25">
      <c r="A583" s="308"/>
      <c r="B583" s="308"/>
      <c r="C583" s="171" t="str">
        <f>IFERROR(VLOOKUP(C582,Списки!$E:$F,2,0)," ")</f>
        <v>SAVUSHKINA ST 128</v>
      </c>
      <c r="D583" s="310"/>
      <c r="E583" s="171" t="str">
        <f>IFERROR(VLOOKUP(E582,Списки!$E:$F,2,0)," ")</f>
        <v>LEVASHOVSKOE HWY 20</v>
      </c>
      <c r="F583" s="312"/>
      <c r="G583" s="314"/>
      <c r="H583" s="315"/>
      <c r="I583" s="8"/>
      <c r="J583" s="8"/>
      <c r="K583" s="8"/>
      <c r="L583" s="8"/>
      <c r="M583" s="8"/>
      <c r="N583" s="8"/>
      <c r="O583" s="8"/>
      <c r="P583" s="8"/>
      <c r="Q583" s="8"/>
      <c r="R583" s="8"/>
      <c r="S583" s="8"/>
      <c r="T583" s="82"/>
    </row>
    <row r="584" spans="1:20" ht="13.5" customHeight="1" x14ac:dyDescent="0.25">
      <c r="A584" s="307">
        <v>2</v>
      </c>
      <c r="B584" s="307"/>
      <c r="C584" s="170" t="s">
        <v>44</v>
      </c>
      <c r="D584" s="309"/>
      <c r="E584" s="170"/>
      <c r="F584" s="311"/>
      <c r="G584" s="313"/>
      <c r="H584" s="315"/>
      <c r="I584" s="8"/>
      <c r="J584" s="8"/>
      <c r="K584" s="8"/>
      <c r="L584" s="8"/>
      <c r="M584" s="8"/>
      <c r="N584" s="8"/>
      <c r="O584" s="8"/>
      <c r="P584" s="8"/>
      <c r="Q584" s="8"/>
      <c r="R584" s="8"/>
      <c r="S584" s="8"/>
      <c r="T584" s="82"/>
    </row>
    <row r="585" spans="1:20" ht="13.5" customHeight="1" x14ac:dyDescent="0.25">
      <c r="A585" s="308"/>
      <c r="B585" s="308"/>
      <c r="C585" s="171" t="str">
        <f>IFERROR(VLOOKUP(C584,Списки!$E:$F,2,0)," ")</f>
        <v>LEVASHOVSKOE HWY 20</v>
      </c>
      <c r="D585" s="310"/>
      <c r="E585" s="171" t="str">
        <f>IFERROR(VLOOKUP(E584,Списки!$E:$F,2,0)," ")</f>
        <v xml:space="preserve"> </v>
      </c>
      <c r="F585" s="312"/>
      <c r="G585" s="314"/>
      <c r="H585" s="315"/>
      <c r="I585" s="8"/>
      <c r="J585" s="8"/>
      <c r="K585" s="8"/>
      <c r="L585" s="8"/>
      <c r="M585" s="8"/>
      <c r="N585" s="8"/>
      <c r="O585" s="8"/>
      <c r="P585" s="8"/>
      <c r="Q585" s="8"/>
      <c r="R585" s="8"/>
      <c r="S585" s="8"/>
      <c r="T585" s="82"/>
    </row>
    <row r="586" spans="1:20" ht="13.5" customHeight="1" x14ac:dyDescent="0.25">
      <c r="A586" s="307">
        <v>3</v>
      </c>
      <c r="B586" s="307"/>
      <c r="C586" s="170"/>
      <c r="D586" s="309"/>
      <c r="E586" s="170"/>
      <c r="F586" s="311"/>
      <c r="G586" s="313"/>
      <c r="H586" s="315"/>
      <c r="I586" s="8"/>
      <c r="J586" s="8"/>
      <c r="K586" s="8"/>
      <c r="L586" s="8"/>
      <c r="M586" s="8"/>
      <c r="N586" s="8"/>
      <c r="O586" s="8"/>
      <c r="P586" s="8"/>
      <c r="Q586" s="8"/>
      <c r="R586" s="8"/>
      <c r="S586" s="8"/>
      <c r="T586" s="82"/>
    </row>
    <row r="587" spans="1:20" ht="13.5" customHeight="1" x14ac:dyDescent="0.25">
      <c r="A587" s="308"/>
      <c r="B587" s="308"/>
      <c r="C587" s="171" t="str">
        <f>IFERROR(VLOOKUP(C586,Списки!$E:$F,2,0)," ")</f>
        <v xml:space="preserve"> </v>
      </c>
      <c r="D587" s="310"/>
      <c r="E587" s="171" t="str">
        <f>IFERROR(VLOOKUP(E586,Списки!$E:$F,2,0)," ")</f>
        <v xml:space="preserve"> </v>
      </c>
      <c r="F587" s="312"/>
      <c r="G587" s="314"/>
      <c r="H587" s="315"/>
      <c r="I587" s="8"/>
      <c r="J587" s="8"/>
      <c r="K587" s="8"/>
      <c r="L587" s="8"/>
      <c r="M587" s="8"/>
      <c r="N587" s="8"/>
      <c r="O587" s="8"/>
      <c r="P587" s="8"/>
      <c r="Q587" s="8"/>
      <c r="R587" s="8"/>
      <c r="S587" s="8"/>
      <c r="T587" s="82"/>
    </row>
    <row r="588" spans="1:20" ht="13.5" customHeight="1" x14ac:dyDescent="0.25">
      <c r="A588" s="307">
        <v>4</v>
      </c>
      <c r="B588" s="307"/>
      <c r="C588" s="170"/>
      <c r="D588" s="309"/>
      <c r="E588" s="170"/>
      <c r="F588" s="311"/>
      <c r="G588" s="313"/>
      <c r="H588" s="315"/>
      <c r="I588" s="8"/>
      <c r="J588" s="8"/>
      <c r="K588" s="8"/>
      <c r="L588" s="8"/>
      <c r="M588" s="8"/>
      <c r="N588" s="8"/>
      <c r="O588" s="8"/>
      <c r="P588" s="8"/>
      <c r="Q588" s="8"/>
      <c r="R588" s="8"/>
      <c r="S588" s="8"/>
      <c r="T588" s="82"/>
    </row>
    <row r="589" spans="1:20" ht="13.5" customHeight="1" x14ac:dyDescent="0.25">
      <c r="A589" s="308"/>
      <c r="B589" s="308"/>
      <c r="C589" s="171" t="str">
        <f>IFERROR(VLOOKUP(C588,Списки!$E:$F,2,0)," ")</f>
        <v xml:space="preserve"> </v>
      </c>
      <c r="D589" s="310"/>
      <c r="E589" s="171" t="str">
        <f>IFERROR(VLOOKUP(E588,Списки!$E:$F,2,0)," ")</f>
        <v xml:space="preserve"> </v>
      </c>
      <c r="F589" s="312"/>
      <c r="G589" s="314"/>
      <c r="H589" s="315"/>
      <c r="I589" s="8"/>
      <c r="J589" s="8"/>
      <c r="K589" s="8"/>
      <c r="L589" s="8"/>
      <c r="M589" s="8"/>
      <c r="N589" s="8"/>
      <c r="O589" s="8"/>
      <c r="P589" s="8"/>
      <c r="Q589" s="8"/>
      <c r="R589" s="8"/>
      <c r="S589" s="8"/>
      <c r="T589" s="82"/>
    </row>
    <row r="590" spans="1:20" ht="13.5" customHeight="1" x14ac:dyDescent="0.25">
      <c r="A590" s="307">
        <v>5</v>
      </c>
      <c r="B590" s="307"/>
      <c r="C590" s="170"/>
      <c r="D590" s="309"/>
      <c r="E590" s="172"/>
      <c r="F590" s="311"/>
      <c r="G590" s="313"/>
      <c r="H590" s="315"/>
      <c r="I590" s="8"/>
      <c r="J590" s="8"/>
      <c r="K590" s="8"/>
      <c r="L590" s="8"/>
      <c r="M590" s="8"/>
      <c r="N590" s="8"/>
      <c r="O590" s="8"/>
      <c r="P590" s="8"/>
      <c r="Q590" s="8"/>
      <c r="R590" s="8"/>
      <c r="S590" s="8"/>
      <c r="T590" s="82"/>
    </row>
    <row r="591" spans="1:20" ht="13.5" customHeight="1" x14ac:dyDescent="0.25">
      <c r="A591" s="308"/>
      <c r="B591" s="308"/>
      <c r="C591" s="171" t="str">
        <f>IFERROR(VLOOKUP(C590,Списки!$E:$F,2,0)," ")</f>
        <v xml:space="preserve"> </v>
      </c>
      <c r="D591" s="310"/>
      <c r="E591" s="172" t="str">
        <f>IFERROR(VLOOKUP(E590,Списки!$E:$F,2,0)," ")</f>
        <v xml:space="preserve"> </v>
      </c>
      <c r="F591" s="312"/>
      <c r="G591" s="314"/>
      <c r="H591" s="315"/>
      <c r="I591" s="8"/>
      <c r="J591" s="8"/>
      <c r="K591" s="8"/>
      <c r="L591" s="8"/>
      <c r="M591" s="8"/>
      <c r="N591" s="8"/>
      <c r="O591" s="8"/>
      <c r="P591" s="8"/>
      <c r="Q591" s="8"/>
      <c r="R591" s="8"/>
      <c r="S591" s="8"/>
      <c r="T591" s="82"/>
    </row>
    <row r="592" spans="1:20" ht="13.5" customHeight="1" x14ac:dyDescent="0.25">
      <c r="A592" s="307">
        <v>6</v>
      </c>
      <c r="B592" s="307"/>
      <c r="C592" s="170"/>
      <c r="D592" s="309"/>
      <c r="E592" s="170"/>
      <c r="F592" s="311"/>
      <c r="G592" s="313"/>
      <c r="H592" s="315"/>
      <c r="I592" s="8"/>
      <c r="J592" s="8"/>
      <c r="K592" s="8"/>
      <c r="L592" s="8"/>
      <c r="M592" s="8"/>
      <c r="N592" s="8"/>
      <c r="O592" s="8"/>
      <c r="P592" s="8"/>
      <c r="Q592" s="8"/>
      <c r="R592" s="8"/>
      <c r="S592" s="8"/>
      <c r="T592" s="82"/>
    </row>
    <row r="593" spans="1:20" ht="13.5" customHeight="1" x14ac:dyDescent="0.25">
      <c r="A593" s="308"/>
      <c r="B593" s="308"/>
      <c r="C593" s="171" t="str">
        <f>IFERROR(VLOOKUP(C592,Списки!$E:$F,2,0)," ")</f>
        <v xml:space="preserve"> </v>
      </c>
      <c r="D593" s="310"/>
      <c r="E593" s="179" t="str">
        <f>IFERROR(VLOOKUP(E592,Списки!$E:$F,2,0)," ")</f>
        <v xml:space="preserve"> </v>
      </c>
      <c r="F593" s="312"/>
      <c r="G593" s="314"/>
      <c r="H593" s="315"/>
      <c r="I593" s="8"/>
      <c r="J593" s="8"/>
      <c r="K593" s="8"/>
      <c r="L593" s="8"/>
      <c r="M593" s="8"/>
      <c r="N593" s="8"/>
      <c r="O593" s="8"/>
      <c r="P593" s="8"/>
      <c r="Q593" s="8"/>
      <c r="R593" s="8"/>
      <c r="S593" s="8"/>
      <c r="T593" s="82"/>
    </row>
    <row r="594" spans="1:20" ht="13.5" customHeight="1" x14ac:dyDescent="0.25">
      <c r="A594" s="307">
        <v>7</v>
      </c>
      <c r="B594" s="307"/>
      <c r="C594" s="170"/>
      <c r="D594" s="309"/>
      <c r="E594" s="170"/>
      <c r="F594" s="311"/>
      <c r="G594" s="313"/>
      <c r="H594" s="315"/>
      <c r="I594" s="8"/>
      <c r="J594" s="8"/>
      <c r="K594" s="8"/>
      <c r="L594" s="8"/>
      <c r="M594" s="8"/>
      <c r="N594" s="8"/>
      <c r="O594" s="8"/>
      <c r="P594" s="8"/>
      <c r="Q594" s="8"/>
      <c r="R594" s="8"/>
      <c r="S594" s="8"/>
      <c r="T594" s="82"/>
    </row>
    <row r="595" spans="1:20" ht="13.5" customHeight="1" x14ac:dyDescent="0.25">
      <c r="A595" s="308"/>
      <c r="B595" s="308"/>
      <c r="C595" s="179" t="str">
        <f>IFERROR(VLOOKUP(C594,Списки!$E:$F,2,0)," ")</f>
        <v xml:space="preserve"> </v>
      </c>
      <c r="D595" s="310"/>
      <c r="E595" s="171" t="str">
        <f>IFERROR(VLOOKUP(E594,Списки!$E:$F,2,0)," ")</f>
        <v xml:space="preserve"> </v>
      </c>
      <c r="F595" s="312"/>
      <c r="G595" s="314"/>
      <c r="H595" s="315"/>
      <c r="I595" s="8"/>
      <c r="J595" s="8"/>
      <c r="K595" s="8"/>
      <c r="L595" s="8"/>
      <c r="M595" s="8"/>
      <c r="N595" s="8"/>
      <c r="O595" s="8"/>
      <c r="P595" s="8"/>
      <c r="Q595" s="8"/>
      <c r="R595" s="8"/>
      <c r="S595" s="8"/>
      <c r="T595" s="82"/>
    </row>
    <row r="596" spans="1:20" ht="13.5" customHeight="1" x14ac:dyDescent="0.25">
      <c r="A596" s="307">
        <v>8</v>
      </c>
      <c r="B596" s="307"/>
      <c r="C596" s="170"/>
      <c r="D596" s="309"/>
      <c r="E596" s="170"/>
      <c r="F596" s="311"/>
      <c r="G596" s="313"/>
      <c r="H596" s="315"/>
      <c r="I596" s="8"/>
      <c r="J596" s="8"/>
      <c r="K596" s="8"/>
      <c r="L596" s="8"/>
      <c r="M596" s="8"/>
      <c r="N596" s="8"/>
      <c r="O596" s="8"/>
      <c r="P596" s="8"/>
      <c r="Q596" s="8"/>
      <c r="R596" s="8"/>
      <c r="S596" s="8"/>
      <c r="T596" s="82"/>
    </row>
    <row r="597" spans="1:20" ht="13.5" customHeight="1" x14ac:dyDescent="0.25">
      <c r="A597" s="308"/>
      <c r="B597" s="308"/>
      <c r="C597" s="179" t="str">
        <f>IFERROR(VLOOKUP(C596,Списки!$E:$F,2,0)," ")</f>
        <v xml:space="preserve"> </v>
      </c>
      <c r="D597" s="310"/>
      <c r="E597" s="171" t="str">
        <f>IFERROR(VLOOKUP(E596,Списки!$E:$F,2,0)," ")</f>
        <v xml:space="preserve"> </v>
      </c>
      <c r="F597" s="312"/>
      <c r="G597" s="314"/>
      <c r="H597" s="315"/>
      <c r="I597" s="8"/>
      <c r="J597" s="8"/>
      <c r="K597" s="8"/>
      <c r="L597" s="8"/>
      <c r="M597" s="8"/>
      <c r="N597" s="8"/>
      <c r="O597" s="8"/>
      <c r="P597" s="8"/>
      <c r="Q597" s="8"/>
      <c r="R597" s="8"/>
      <c r="S597" s="8"/>
      <c r="T597" s="82"/>
    </row>
    <row r="598" spans="1:20" ht="13.5" customHeight="1" x14ac:dyDescent="0.25">
      <c r="A598" s="307">
        <v>9</v>
      </c>
      <c r="B598" s="307"/>
      <c r="C598" s="170"/>
      <c r="D598" s="309"/>
      <c r="E598" s="170"/>
      <c r="F598" s="311"/>
      <c r="G598" s="313"/>
      <c r="H598" s="315"/>
      <c r="I598" s="8"/>
      <c r="J598" s="8"/>
      <c r="K598" s="8"/>
      <c r="L598" s="8"/>
      <c r="M598" s="8"/>
      <c r="N598" s="8"/>
      <c r="O598" s="8"/>
      <c r="P598" s="8"/>
      <c r="Q598" s="8"/>
      <c r="R598" s="8"/>
      <c r="S598" s="8"/>
      <c r="T598" s="82"/>
    </row>
    <row r="599" spans="1:20" ht="13.5" customHeight="1" x14ac:dyDescent="0.25">
      <c r="A599" s="308"/>
      <c r="B599" s="308"/>
      <c r="C599" s="171" t="str">
        <f>IFERROR(VLOOKUP(C598,Списки!$E:$F,2,0)," ")</f>
        <v xml:space="preserve"> </v>
      </c>
      <c r="D599" s="310"/>
      <c r="E599" s="171" t="str">
        <f>IFERROR(VLOOKUP(E598,Списки!$E:$F,2,0)," ")</f>
        <v xml:space="preserve"> </v>
      </c>
      <c r="F599" s="312"/>
      <c r="G599" s="314"/>
      <c r="H599" s="315"/>
      <c r="I599" s="8"/>
      <c r="J599" s="8"/>
      <c r="K599" s="8"/>
      <c r="L599" s="8"/>
      <c r="M599" s="8"/>
      <c r="N599" s="8"/>
      <c r="O599" s="8"/>
      <c r="P599" s="8"/>
      <c r="Q599" s="8"/>
      <c r="R599" s="8"/>
      <c r="S599" s="8"/>
      <c r="T599" s="82"/>
    </row>
    <row r="600" spans="1:20" ht="13.5" customHeight="1" x14ac:dyDescent="0.25">
      <c r="A600" s="307">
        <v>10</v>
      </c>
      <c r="B600" s="307"/>
      <c r="C600" s="170"/>
      <c r="D600" s="309"/>
      <c r="E600" s="170"/>
      <c r="F600" s="311"/>
      <c r="G600" s="313"/>
      <c r="H600" s="315"/>
      <c r="I600" s="8"/>
      <c r="J600" s="8"/>
      <c r="K600" s="8"/>
      <c r="L600" s="8"/>
      <c r="M600" s="8"/>
      <c r="N600" s="8"/>
      <c r="O600" s="8"/>
      <c r="P600" s="8"/>
      <c r="Q600" s="8"/>
      <c r="R600" s="8"/>
      <c r="S600" s="8"/>
      <c r="T600" s="82"/>
    </row>
    <row r="601" spans="1:20" ht="13.5" customHeight="1" x14ac:dyDescent="0.25">
      <c r="A601" s="308"/>
      <c r="B601" s="308"/>
      <c r="C601" s="171" t="str">
        <f>IFERROR(VLOOKUP(C600,Списки!$E:$F,2,0)," ")</f>
        <v xml:space="preserve"> </v>
      </c>
      <c r="D601" s="310"/>
      <c r="E601" s="171" t="str">
        <f>IFERROR(VLOOKUP(E600,Списки!$E:$F,2,0)," ")</f>
        <v xml:space="preserve"> </v>
      </c>
      <c r="F601" s="312"/>
      <c r="G601" s="314"/>
      <c r="H601" s="315"/>
      <c r="I601" s="8"/>
      <c r="J601" s="8"/>
      <c r="K601" s="8"/>
      <c r="L601" s="8"/>
      <c r="M601" s="8"/>
      <c r="N601" s="8"/>
      <c r="O601" s="8"/>
      <c r="P601" s="8"/>
      <c r="Q601" s="8"/>
      <c r="R601" s="8"/>
      <c r="S601" s="8"/>
      <c r="T601" s="82"/>
    </row>
    <row r="602" spans="1:20" ht="13.5" customHeight="1" x14ac:dyDescent="0.25">
      <c r="A602" s="307">
        <v>11</v>
      </c>
      <c r="B602" s="307"/>
      <c r="C602" s="170"/>
      <c r="D602" s="309"/>
      <c r="E602" s="170"/>
      <c r="F602" s="311"/>
      <c r="G602" s="313"/>
      <c r="H602" s="315"/>
      <c r="I602" s="8"/>
      <c r="J602" s="8"/>
      <c r="K602" s="8"/>
      <c r="L602" s="8"/>
      <c r="M602" s="8"/>
      <c r="N602" s="8"/>
      <c r="O602" s="8"/>
      <c r="P602" s="8"/>
      <c r="Q602" s="8"/>
      <c r="R602" s="8"/>
      <c r="S602" s="8"/>
      <c r="T602" s="82"/>
    </row>
    <row r="603" spans="1:20" ht="13.5" customHeight="1" x14ac:dyDescent="0.25">
      <c r="A603" s="308"/>
      <c r="B603" s="308"/>
      <c r="C603" s="171" t="str">
        <f>IFERROR(VLOOKUP(C602,Списки!$E:$F,2,0)," ")</f>
        <v xml:space="preserve"> </v>
      </c>
      <c r="D603" s="310"/>
      <c r="E603" s="171" t="str">
        <f>IFERROR(VLOOKUP(E602,Списки!$E:$F,2,0)," ")</f>
        <v xml:space="preserve"> </v>
      </c>
      <c r="F603" s="312"/>
      <c r="G603" s="314"/>
      <c r="H603" s="315"/>
      <c r="I603" s="8"/>
      <c r="J603" s="8"/>
      <c r="K603" s="8"/>
      <c r="L603" s="8"/>
      <c r="M603" s="8"/>
      <c r="N603" s="8"/>
      <c r="O603" s="8"/>
      <c r="P603" s="8"/>
      <c r="Q603" s="8"/>
      <c r="R603" s="8"/>
      <c r="S603" s="8"/>
      <c r="T603" s="82"/>
    </row>
    <row r="604" spans="1:20" ht="13.5" customHeight="1" x14ac:dyDescent="0.25">
      <c r="A604" s="307">
        <v>12</v>
      </c>
      <c r="B604" s="307"/>
      <c r="C604" s="170"/>
      <c r="D604" s="309"/>
      <c r="E604" s="170"/>
      <c r="F604" s="311"/>
      <c r="G604" s="313"/>
      <c r="H604" s="315"/>
      <c r="I604" s="8"/>
      <c r="J604" s="8"/>
      <c r="K604" s="8"/>
      <c r="L604" s="8"/>
      <c r="M604" s="8"/>
      <c r="N604" s="8"/>
      <c r="O604" s="8"/>
      <c r="P604" s="8"/>
      <c r="Q604" s="8"/>
      <c r="R604" s="8"/>
      <c r="S604" s="8"/>
      <c r="T604" s="82"/>
    </row>
    <row r="605" spans="1:20" ht="13.5" customHeight="1" x14ac:dyDescent="0.25">
      <c r="A605" s="308"/>
      <c r="B605" s="308"/>
      <c r="C605" s="171" t="str">
        <f>IFERROR(VLOOKUP(C604,Списки!$E:$F,2,0)," ")</f>
        <v xml:space="preserve"> </v>
      </c>
      <c r="D605" s="310"/>
      <c r="E605" s="171" t="str">
        <f>IFERROR(VLOOKUP(E604,Списки!$E:$F,2,0)," ")</f>
        <v xml:space="preserve"> </v>
      </c>
      <c r="F605" s="312"/>
      <c r="G605" s="314"/>
      <c r="H605" s="315"/>
      <c r="I605" s="8"/>
      <c r="J605" s="8"/>
      <c r="K605" s="8"/>
      <c r="L605" s="8"/>
      <c r="M605" s="8"/>
      <c r="N605" s="8"/>
      <c r="O605" s="8"/>
      <c r="P605" s="8"/>
      <c r="Q605" s="8"/>
      <c r="R605" s="8"/>
      <c r="S605" s="8"/>
      <c r="T605" s="82"/>
    </row>
    <row r="606" spans="1:20" ht="13.5" customHeight="1" x14ac:dyDescent="0.25">
      <c r="A606" s="307">
        <v>13</v>
      </c>
      <c r="B606" s="307"/>
      <c r="C606" s="170"/>
      <c r="D606" s="309"/>
      <c r="E606" s="170"/>
      <c r="F606" s="311"/>
      <c r="G606" s="313"/>
      <c r="H606" s="315"/>
      <c r="I606" s="8"/>
      <c r="J606" s="8"/>
      <c r="K606" s="8"/>
      <c r="L606" s="8"/>
      <c r="M606" s="8"/>
      <c r="N606" s="8"/>
      <c r="O606" s="8"/>
      <c r="P606" s="8"/>
      <c r="Q606" s="8"/>
      <c r="R606" s="8"/>
      <c r="S606" s="8"/>
      <c r="T606" s="82"/>
    </row>
    <row r="607" spans="1:20" ht="13.5" customHeight="1" x14ac:dyDescent="0.25">
      <c r="A607" s="308"/>
      <c r="B607" s="308"/>
      <c r="C607" s="171" t="str">
        <f>IFERROR(VLOOKUP(C606,Списки!$E:$F,2,0)," ")</f>
        <v xml:space="preserve"> </v>
      </c>
      <c r="D607" s="310"/>
      <c r="E607" s="171" t="str">
        <f>IFERROR(VLOOKUP(E606,Списки!$E:$F,2,0)," ")</f>
        <v xml:space="preserve"> </v>
      </c>
      <c r="F607" s="312"/>
      <c r="G607" s="314"/>
      <c r="H607" s="315"/>
      <c r="I607" s="8"/>
      <c r="J607" s="8"/>
      <c r="K607" s="8"/>
      <c r="L607" s="8"/>
      <c r="M607" s="8"/>
      <c r="N607" s="8"/>
      <c r="O607" s="8"/>
      <c r="P607" s="8"/>
      <c r="Q607" s="8"/>
      <c r="R607" s="8"/>
      <c r="S607" s="8"/>
      <c r="T607" s="82"/>
    </row>
    <row r="608" spans="1:20" ht="13.5" customHeight="1" x14ac:dyDescent="0.25">
      <c r="A608" s="307">
        <v>14</v>
      </c>
      <c r="B608" s="307"/>
      <c r="C608" s="170"/>
      <c r="D608" s="309"/>
      <c r="E608" s="170"/>
      <c r="F608" s="311"/>
      <c r="G608" s="313"/>
      <c r="H608" s="315"/>
      <c r="I608" s="8"/>
      <c r="J608" s="8"/>
      <c r="K608" s="8"/>
      <c r="L608" s="8"/>
      <c r="M608" s="8"/>
      <c r="N608" s="8"/>
      <c r="O608" s="8"/>
      <c r="P608" s="8"/>
      <c r="Q608" s="8"/>
      <c r="R608" s="8"/>
      <c r="S608" s="8"/>
      <c r="T608" s="82"/>
    </row>
    <row r="609" spans="1:20" ht="13.5" customHeight="1" x14ac:dyDescent="0.25">
      <c r="A609" s="308"/>
      <c r="B609" s="308"/>
      <c r="C609" s="171" t="str">
        <f>IFERROR(VLOOKUP(C608,Списки!$E:$F,2,0)," ")</f>
        <v xml:space="preserve"> </v>
      </c>
      <c r="D609" s="310"/>
      <c r="E609" s="171" t="str">
        <f>IFERROR(VLOOKUP(E608,Списки!$E:$F,2,0)," ")</f>
        <v xml:space="preserve"> </v>
      </c>
      <c r="F609" s="312"/>
      <c r="G609" s="314"/>
      <c r="H609" s="315"/>
      <c r="I609" s="8"/>
      <c r="J609" s="8"/>
      <c r="K609" s="8"/>
      <c r="L609" s="8"/>
      <c r="M609" s="8"/>
      <c r="N609" s="8"/>
      <c r="O609" s="8"/>
      <c r="P609" s="8"/>
      <c r="Q609" s="8"/>
      <c r="R609" s="8"/>
      <c r="S609" s="8"/>
      <c r="T609" s="82"/>
    </row>
    <row r="610" spans="1:20" ht="13.5" customHeight="1" x14ac:dyDescent="0.25">
      <c r="A610" s="307">
        <v>15</v>
      </c>
      <c r="B610" s="307"/>
      <c r="C610" s="170"/>
      <c r="D610" s="309"/>
      <c r="E610" s="170"/>
      <c r="F610" s="311"/>
      <c r="G610" s="313"/>
      <c r="H610" s="315"/>
      <c r="I610" s="8"/>
      <c r="J610" s="8"/>
      <c r="K610" s="8"/>
      <c r="L610" s="8"/>
      <c r="M610" s="8"/>
      <c r="N610" s="8"/>
      <c r="O610" s="8"/>
      <c r="P610" s="8"/>
      <c r="Q610" s="8"/>
      <c r="R610" s="8"/>
      <c r="S610" s="8"/>
      <c r="T610" s="82"/>
    </row>
    <row r="611" spans="1:20" ht="13.5" customHeight="1" x14ac:dyDescent="0.25">
      <c r="A611" s="308"/>
      <c r="B611" s="308"/>
      <c r="C611" s="171" t="str">
        <f>IFERROR(VLOOKUP(C610,Списки!$E:$F,2,0)," ")</f>
        <v xml:space="preserve"> </v>
      </c>
      <c r="D611" s="310"/>
      <c r="E611" s="171" t="str">
        <f>IFERROR(VLOOKUP(E610,Списки!$E:$F,2,0)," ")</f>
        <v xml:space="preserve"> </v>
      </c>
      <c r="F611" s="312"/>
      <c r="G611" s="314"/>
      <c r="H611" s="315"/>
      <c r="I611" s="8"/>
      <c r="J611" s="8"/>
      <c r="K611" s="8"/>
      <c r="L611" s="8"/>
      <c r="M611" s="8"/>
      <c r="N611" s="8"/>
      <c r="O611" s="8"/>
      <c r="P611" s="8"/>
      <c r="Q611" s="8"/>
      <c r="R611" s="8"/>
      <c r="S611" s="8"/>
      <c r="T611" s="82"/>
    </row>
    <row r="612" spans="1:20" x14ac:dyDescent="0.25">
      <c r="A612" s="36"/>
      <c r="B612" s="37"/>
      <c r="C612" s="173"/>
      <c r="D612" s="173"/>
      <c r="E612" s="174" t="s">
        <v>30</v>
      </c>
      <c r="F612" s="39">
        <f>IFERROR(SUM(IFERROR(IF((LOOKUP(9E+307,F582:F611))&gt;$M$39,(LOOKUP(9E+307,F582:F611))-$M$39,IF((LOOKUP(9E+307,F582:F611))&lt;0.166666667,0+(LOOKUP(9E+307,F582:F611))+1-$M$39,0)),0),(IF(AND(IF(D582,$M$38-D582,0)&gt;0,F582,F582&gt;D582),$M$38-D582,IF(AND(D582,F582,D582&gt;F582),"error",0)))),"ОШИБКА")</f>
        <v>0</v>
      </c>
      <c r="G612" s="40" t="s">
        <v>27</v>
      </c>
      <c r="H612" s="206">
        <f>SUM(H582:H611)</f>
        <v>0</v>
      </c>
      <c r="I612" s="8"/>
      <c r="J612" s="8"/>
      <c r="K612" s="8"/>
      <c r="L612" s="8"/>
      <c r="M612" s="8"/>
      <c r="N612" s="8"/>
      <c r="O612" s="8"/>
      <c r="P612" s="8"/>
      <c r="Q612" s="8"/>
      <c r="R612" s="8"/>
      <c r="S612" s="8"/>
      <c r="T612" s="82"/>
    </row>
    <row r="613" spans="1:20" ht="15.75" x14ac:dyDescent="0.25">
      <c r="A613" s="316">
        <f>DATE(K1,J1,19)</f>
        <v>43849</v>
      </c>
      <c r="B613" s="316"/>
      <c r="C613" s="316"/>
      <c r="D613" s="316"/>
      <c r="E613" s="316"/>
      <c r="F613" s="316"/>
      <c r="G613" s="316"/>
      <c r="H613" s="316"/>
      <c r="I613" s="8"/>
      <c r="J613" s="8"/>
      <c r="K613" s="8"/>
      <c r="L613" s="8"/>
      <c r="M613" s="8"/>
      <c r="N613" s="8"/>
      <c r="O613" s="8"/>
      <c r="P613" s="8"/>
      <c r="Q613" s="8"/>
      <c r="R613" s="8"/>
      <c r="S613" s="8"/>
      <c r="T613" s="82"/>
    </row>
    <row r="614" spans="1:20" ht="13.5" customHeight="1" x14ac:dyDescent="0.25">
      <c r="A614" s="318"/>
      <c r="B614" s="320" t="s">
        <v>34</v>
      </c>
      <c r="C614" s="205" t="s">
        <v>39</v>
      </c>
      <c r="D614" s="322" t="s">
        <v>36</v>
      </c>
      <c r="E614" s="205" t="s">
        <v>37</v>
      </c>
      <c r="F614" s="320" t="s">
        <v>36</v>
      </c>
      <c r="G614" s="324" t="s">
        <v>35</v>
      </c>
      <c r="H614" s="315" t="s">
        <v>40</v>
      </c>
      <c r="I614" s="8"/>
      <c r="J614" s="8"/>
      <c r="K614" s="8"/>
      <c r="L614" s="8"/>
      <c r="M614" s="8"/>
      <c r="N614" s="8"/>
      <c r="O614" s="8"/>
      <c r="P614" s="8"/>
      <c r="Q614" s="8"/>
      <c r="R614" s="8"/>
      <c r="S614" s="8"/>
      <c r="T614" s="82"/>
    </row>
    <row r="615" spans="1:20" ht="13.5" customHeight="1" x14ac:dyDescent="0.25">
      <c r="A615" s="319"/>
      <c r="B615" s="321"/>
      <c r="C615" s="204" t="s">
        <v>38</v>
      </c>
      <c r="D615" s="323"/>
      <c r="E615" s="204" t="s">
        <v>38</v>
      </c>
      <c r="F615" s="321"/>
      <c r="G615" s="325"/>
      <c r="H615" s="315"/>
      <c r="I615" s="8"/>
      <c r="J615" s="8"/>
      <c r="K615" s="8"/>
      <c r="L615" s="8"/>
      <c r="M615" s="8"/>
      <c r="N615" s="8"/>
      <c r="O615" s="8"/>
      <c r="P615" s="8"/>
      <c r="Q615" s="8"/>
      <c r="R615" s="8"/>
      <c r="S615" s="8"/>
      <c r="T615" s="82"/>
    </row>
    <row r="616" spans="1:20" ht="13.5" customHeight="1" x14ac:dyDescent="0.25">
      <c r="A616" s="307">
        <v>1</v>
      </c>
      <c r="B616" s="307"/>
      <c r="C616" s="170" t="s">
        <v>43</v>
      </c>
      <c r="D616" s="309"/>
      <c r="E616" s="170" t="s">
        <v>44</v>
      </c>
      <c r="F616" s="311"/>
      <c r="G616" s="313"/>
      <c r="H616" s="315"/>
      <c r="I616" s="8"/>
      <c r="J616" s="8"/>
      <c r="K616" s="8"/>
      <c r="L616" s="8"/>
      <c r="M616" s="8"/>
      <c r="N616" s="8"/>
      <c r="O616" s="8"/>
      <c r="P616" s="8"/>
      <c r="Q616" s="8"/>
      <c r="R616" s="8"/>
      <c r="S616" s="8"/>
      <c r="T616" s="82"/>
    </row>
    <row r="617" spans="1:20" ht="13.5" customHeight="1" x14ac:dyDescent="0.25">
      <c r="A617" s="308"/>
      <c r="B617" s="308"/>
      <c r="C617" s="171" t="str">
        <f>IFERROR(VLOOKUP(C616,Списки!$E:$F,2,0)," ")</f>
        <v>SAVUSHKINA ST 128</v>
      </c>
      <c r="D617" s="310"/>
      <c r="E617" s="171" t="str">
        <f>IFERROR(VLOOKUP(E616,Списки!$E:$F,2,0)," ")</f>
        <v>LEVASHOVSKOE HWY 20</v>
      </c>
      <c r="F617" s="312"/>
      <c r="G617" s="314"/>
      <c r="H617" s="315"/>
      <c r="I617" s="8"/>
      <c r="J617" s="8"/>
      <c r="K617" s="8"/>
      <c r="L617" s="8"/>
      <c r="M617" s="8"/>
      <c r="N617" s="8"/>
      <c r="O617" s="8"/>
      <c r="P617" s="8"/>
      <c r="Q617" s="8"/>
      <c r="R617" s="8"/>
      <c r="S617" s="8"/>
      <c r="T617" s="82"/>
    </row>
    <row r="618" spans="1:20" ht="13.5" customHeight="1" x14ac:dyDescent="0.25">
      <c r="A618" s="307">
        <v>2</v>
      </c>
      <c r="B618" s="307"/>
      <c r="C618" s="170" t="s">
        <v>44</v>
      </c>
      <c r="D618" s="309"/>
      <c r="E618" s="170"/>
      <c r="F618" s="311"/>
      <c r="G618" s="313"/>
      <c r="H618" s="315"/>
      <c r="I618" s="8"/>
      <c r="J618" s="8"/>
      <c r="K618" s="8"/>
      <c r="L618" s="8"/>
      <c r="M618" s="8"/>
      <c r="N618" s="8"/>
      <c r="O618" s="8"/>
      <c r="P618" s="8"/>
      <c r="Q618" s="8"/>
      <c r="R618" s="8"/>
      <c r="S618" s="8"/>
      <c r="T618" s="82"/>
    </row>
    <row r="619" spans="1:20" ht="13.5" customHeight="1" x14ac:dyDescent="0.25">
      <c r="A619" s="308"/>
      <c r="B619" s="308"/>
      <c r="C619" s="171" t="str">
        <f>IFERROR(VLOOKUP(C618,Списки!$E:$F,2,0)," ")</f>
        <v>LEVASHOVSKOE HWY 20</v>
      </c>
      <c r="D619" s="310"/>
      <c r="E619" s="171" t="str">
        <f>IFERROR(VLOOKUP(E618,Списки!$E:$F,2,0)," ")</f>
        <v xml:space="preserve"> </v>
      </c>
      <c r="F619" s="312"/>
      <c r="G619" s="314"/>
      <c r="H619" s="315"/>
      <c r="I619" s="8"/>
      <c r="J619" s="8"/>
      <c r="K619" s="8"/>
      <c r="L619" s="8"/>
      <c r="M619" s="8"/>
      <c r="N619" s="8"/>
      <c r="O619" s="8"/>
      <c r="P619" s="8"/>
      <c r="Q619" s="8"/>
      <c r="R619" s="8"/>
      <c r="S619" s="8"/>
      <c r="T619" s="82"/>
    </row>
    <row r="620" spans="1:20" ht="13.5" customHeight="1" x14ac:dyDescent="0.25">
      <c r="A620" s="307">
        <v>3</v>
      </c>
      <c r="B620" s="307"/>
      <c r="C620" s="170"/>
      <c r="D620" s="309"/>
      <c r="E620" s="170"/>
      <c r="F620" s="311"/>
      <c r="G620" s="313"/>
      <c r="H620" s="315"/>
      <c r="I620" s="8"/>
      <c r="J620" s="8"/>
      <c r="K620" s="8"/>
      <c r="L620" s="8"/>
      <c r="M620" s="8"/>
      <c r="N620" s="8"/>
      <c r="O620" s="8"/>
      <c r="P620" s="8"/>
      <c r="Q620" s="8"/>
      <c r="R620" s="8"/>
      <c r="S620" s="8"/>
      <c r="T620" s="82"/>
    </row>
    <row r="621" spans="1:20" ht="13.5" customHeight="1" x14ac:dyDescent="0.25">
      <c r="A621" s="308"/>
      <c r="B621" s="308"/>
      <c r="C621" s="171" t="str">
        <f>IFERROR(VLOOKUP(C620,Списки!$E:$F,2,0)," ")</f>
        <v xml:space="preserve"> </v>
      </c>
      <c r="D621" s="310"/>
      <c r="E621" s="171" t="str">
        <f>IFERROR(VLOOKUP(E620,Списки!$E:$F,2,0)," ")</f>
        <v xml:space="preserve"> </v>
      </c>
      <c r="F621" s="312"/>
      <c r="G621" s="314"/>
      <c r="H621" s="315"/>
      <c r="I621" s="8"/>
      <c r="J621" s="8"/>
      <c r="K621" s="8"/>
      <c r="L621" s="8"/>
      <c r="M621" s="8"/>
      <c r="N621" s="8"/>
      <c r="O621" s="8"/>
      <c r="P621" s="8"/>
      <c r="Q621" s="8"/>
      <c r="R621" s="8"/>
      <c r="S621" s="8"/>
      <c r="T621" s="82"/>
    </row>
    <row r="622" spans="1:20" ht="13.5" customHeight="1" x14ac:dyDescent="0.25">
      <c r="A622" s="307">
        <v>4</v>
      </c>
      <c r="B622" s="307"/>
      <c r="C622" s="170"/>
      <c r="D622" s="309"/>
      <c r="E622" s="170"/>
      <c r="F622" s="311"/>
      <c r="G622" s="313"/>
      <c r="H622" s="315"/>
      <c r="I622" s="8"/>
      <c r="J622" s="8"/>
      <c r="K622" s="8"/>
      <c r="L622" s="8"/>
      <c r="M622" s="8"/>
      <c r="N622" s="8"/>
      <c r="O622" s="8"/>
      <c r="P622" s="8"/>
      <c r="Q622" s="8"/>
      <c r="R622" s="8"/>
      <c r="S622" s="8"/>
      <c r="T622" s="82"/>
    </row>
    <row r="623" spans="1:20" ht="13.5" customHeight="1" x14ac:dyDescent="0.25">
      <c r="A623" s="308"/>
      <c r="B623" s="308"/>
      <c r="C623" s="171" t="str">
        <f>IFERROR(VLOOKUP(C622,Списки!$E:$F,2,0)," ")</f>
        <v xml:space="preserve"> </v>
      </c>
      <c r="D623" s="310"/>
      <c r="E623" s="171" t="str">
        <f>IFERROR(VLOOKUP(E622,Списки!$E:$F,2,0)," ")</f>
        <v xml:space="preserve"> </v>
      </c>
      <c r="F623" s="312"/>
      <c r="G623" s="314"/>
      <c r="H623" s="315"/>
      <c r="I623" s="8"/>
      <c r="J623" s="8"/>
      <c r="K623" s="8"/>
      <c r="L623" s="8"/>
      <c r="M623" s="8"/>
      <c r="N623" s="8"/>
      <c r="O623" s="8"/>
      <c r="P623" s="8"/>
      <c r="Q623" s="8"/>
      <c r="R623" s="8"/>
      <c r="S623" s="8"/>
      <c r="T623" s="82"/>
    </row>
    <row r="624" spans="1:20" ht="13.5" customHeight="1" x14ac:dyDescent="0.25">
      <c r="A624" s="307">
        <v>5</v>
      </c>
      <c r="B624" s="307"/>
      <c r="C624" s="170"/>
      <c r="D624" s="309"/>
      <c r="E624" s="172"/>
      <c r="F624" s="311"/>
      <c r="G624" s="313"/>
      <c r="H624" s="315"/>
      <c r="I624" s="8"/>
      <c r="J624" s="8"/>
      <c r="K624" s="8"/>
      <c r="L624" s="8"/>
      <c r="M624" s="8"/>
      <c r="N624" s="8"/>
      <c r="O624" s="8"/>
      <c r="P624" s="8"/>
      <c r="Q624" s="8"/>
      <c r="R624" s="8"/>
      <c r="S624" s="8"/>
      <c r="T624" s="82"/>
    </row>
    <row r="625" spans="1:20" ht="13.5" customHeight="1" x14ac:dyDescent="0.25">
      <c r="A625" s="308"/>
      <c r="B625" s="308"/>
      <c r="C625" s="171" t="str">
        <f>IFERROR(VLOOKUP(C624,Списки!$E:$F,2,0)," ")</f>
        <v xml:space="preserve"> </v>
      </c>
      <c r="D625" s="310"/>
      <c r="E625" s="172" t="str">
        <f>IFERROR(VLOOKUP(E624,Списки!$E:$F,2,0)," ")</f>
        <v xml:space="preserve"> </v>
      </c>
      <c r="F625" s="312"/>
      <c r="G625" s="314"/>
      <c r="H625" s="315"/>
      <c r="I625" s="8"/>
      <c r="J625" s="8"/>
      <c r="K625" s="8"/>
      <c r="L625" s="8"/>
      <c r="M625" s="8"/>
      <c r="N625" s="8"/>
      <c r="O625" s="8"/>
      <c r="P625" s="8"/>
      <c r="Q625" s="8"/>
      <c r="R625" s="8"/>
      <c r="S625" s="8"/>
      <c r="T625" s="82"/>
    </row>
    <row r="626" spans="1:20" ht="13.5" customHeight="1" x14ac:dyDescent="0.25">
      <c r="A626" s="307">
        <v>6</v>
      </c>
      <c r="B626" s="307"/>
      <c r="C626" s="170"/>
      <c r="D626" s="309"/>
      <c r="E626" s="170"/>
      <c r="F626" s="311"/>
      <c r="G626" s="313"/>
      <c r="H626" s="315"/>
      <c r="I626" s="8"/>
      <c r="J626" s="8"/>
      <c r="K626" s="8"/>
      <c r="L626" s="8"/>
      <c r="M626" s="8"/>
      <c r="N626" s="8"/>
      <c r="O626" s="8"/>
      <c r="P626" s="8"/>
      <c r="Q626" s="8"/>
      <c r="R626" s="8"/>
      <c r="S626" s="8"/>
      <c r="T626" s="82"/>
    </row>
    <row r="627" spans="1:20" ht="13.5" customHeight="1" x14ac:dyDescent="0.25">
      <c r="A627" s="308"/>
      <c r="B627" s="308"/>
      <c r="C627" s="171" t="str">
        <f>IFERROR(VLOOKUP(C626,Списки!$E:$F,2,0)," ")</f>
        <v xml:space="preserve"> </v>
      </c>
      <c r="D627" s="310"/>
      <c r="E627" s="179" t="str">
        <f>IFERROR(VLOOKUP(E626,Списки!$E:$F,2,0)," ")</f>
        <v xml:space="preserve"> </v>
      </c>
      <c r="F627" s="312"/>
      <c r="G627" s="314"/>
      <c r="H627" s="315"/>
      <c r="I627" s="8"/>
      <c r="J627" s="8"/>
      <c r="K627" s="8"/>
      <c r="L627" s="8"/>
      <c r="M627" s="8"/>
      <c r="N627" s="8"/>
      <c r="O627" s="8"/>
      <c r="P627" s="8"/>
      <c r="Q627" s="8"/>
      <c r="R627" s="8"/>
      <c r="S627" s="8"/>
      <c r="T627" s="82"/>
    </row>
    <row r="628" spans="1:20" ht="13.5" customHeight="1" x14ac:dyDescent="0.25">
      <c r="A628" s="307">
        <v>7</v>
      </c>
      <c r="B628" s="307"/>
      <c r="C628" s="170"/>
      <c r="D628" s="309"/>
      <c r="E628" s="170"/>
      <c r="F628" s="311"/>
      <c r="G628" s="313"/>
      <c r="H628" s="315"/>
      <c r="I628" s="8"/>
      <c r="J628" s="8"/>
      <c r="K628" s="8"/>
      <c r="L628" s="8"/>
      <c r="M628" s="8"/>
      <c r="N628" s="8"/>
      <c r="O628" s="8"/>
      <c r="P628" s="8"/>
      <c r="Q628" s="8"/>
      <c r="R628" s="8"/>
      <c r="S628" s="8"/>
      <c r="T628" s="82"/>
    </row>
    <row r="629" spans="1:20" ht="13.5" customHeight="1" x14ac:dyDescent="0.25">
      <c r="A629" s="308"/>
      <c r="B629" s="308"/>
      <c r="C629" s="179" t="str">
        <f>IFERROR(VLOOKUP(C628,Списки!$E:$F,2,0)," ")</f>
        <v xml:space="preserve"> </v>
      </c>
      <c r="D629" s="310"/>
      <c r="E629" s="171" t="str">
        <f>IFERROR(VLOOKUP(E628,Списки!$E:$F,2,0)," ")</f>
        <v xml:space="preserve"> </v>
      </c>
      <c r="F629" s="312"/>
      <c r="G629" s="314"/>
      <c r="H629" s="315"/>
      <c r="I629" s="8"/>
      <c r="J629" s="8"/>
      <c r="K629" s="8"/>
      <c r="L629" s="8"/>
      <c r="M629" s="8"/>
      <c r="N629" s="8"/>
      <c r="O629" s="8"/>
      <c r="P629" s="8"/>
      <c r="Q629" s="8"/>
      <c r="R629" s="8"/>
      <c r="S629" s="8"/>
      <c r="T629" s="82"/>
    </row>
    <row r="630" spans="1:20" ht="13.5" customHeight="1" x14ac:dyDescent="0.25">
      <c r="A630" s="307">
        <v>8</v>
      </c>
      <c r="B630" s="307"/>
      <c r="C630" s="170"/>
      <c r="D630" s="309"/>
      <c r="E630" s="170"/>
      <c r="F630" s="311"/>
      <c r="G630" s="313"/>
      <c r="H630" s="315"/>
      <c r="I630" s="8"/>
      <c r="J630" s="8"/>
      <c r="K630" s="8"/>
      <c r="L630" s="8"/>
      <c r="M630" s="8"/>
      <c r="N630" s="8"/>
      <c r="O630" s="8"/>
      <c r="P630" s="8"/>
      <c r="Q630" s="8"/>
      <c r="R630" s="8"/>
      <c r="S630" s="8"/>
      <c r="T630" s="82"/>
    </row>
    <row r="631" spans="1:20" ht="13.5" customHeight="1" x14ac:dyDescent="0.25">
      <c r="A631" s="308"/>
      <c r="B631" s="308"/>
      <c r="C631" s="179" t="str">
        <f>IFERROR(VLOOKUP(C630,Списки!$E:$F,2,0)," ")</f>
        <v xml:space="preserve"> </v>
      </c>
      <c r="D631" s="310"/>
      <c r="E631" s="171" t="str">
        <f>IFERROR(VLOOKUP(E630,Списки!$E:$F,2,0)," ")</f>
        <v xml:space="preserve"> </v>
      </c>
      <c r="F631" s="312"/>
      <c r="G631" s="314"/>
      <c r="H631" s="315"/>
      <c r="I631" s="8"/>
      <c r="J631" s="8"/>
      <c r="K631" s="8"/>
      <c r="L631" s="8"/>
      <c r="M631" s="8"/>
      <c r="N631" s="8"/>
      <c r="O631" s="8"/>
      <c r="P631" s="8"/>
      <c r="Q631" s="8"/>
      <c r="R631" s="8"/>
      <c r="S631" s="8"/>
      <c r="T631" s="82"/>
    </row>
    <row r="632" spans="1:20" ht="13.5" customHeight="1" x14ac:dyDescent="0.25">
      <c r="A632" s="307">
        <v>9</v>
      </c>
      <c r="B632" s="307"/>
      <c r="C632" s="170"/>
      <c r="D632" s="309"/>
      <c r="E632" s="170"/>
      <c r="F632" s="311"/>
      <c r="G632" s="313"/>
      <c r="H632" s="315"/>
      <c r="I632" s="8"/>
      <c r="J632" s="8"/>
      <c r="K632" s="8"/>
      <c r="L632" s="8"/>
      <c r="M632" s="8"/>
      <c r="N632" s="8"/>
      <c r="O632" s="8"/>
      <c r="P632" s="8"/>
      <c r="Q632" s="8"/>
      <c r="R632" s="8"/>
      <c r="S632" s="8"/>
      <c r="T632" s="82"/>
    </row>
    <row r="633" spans="1:20" ht="13.5" customHeight="1" x14ac:dyDescent="0.25">
      <c r="A633" s="308"/>
      <c r="B633" s="308"/>
      <c r="C633" s="171" t="str">
        <f>IFERROR(VLOOKUP(C632,Списки!$E:$F,2,0)," ")</f>
        <v xml:space="preserve"> </v>
      </c>
      <c r="D633" s="310"/>
      <c r="E633" s="171" t="str">
        <f>IFERROR(VLOOKUP(E632,Списки!$E:$F,2,0)," ")</f>
        <v xml:space="preserve"> </v>
      </c>
      <c r="F633" s="312"/>
      <c r="G633" s="314"/>
      <c r="H633" s="315"/>
      <c r="I633" s="8"/>
      <c r="J633" s="8"/>
      <c r="K633" s="8"/>
      <c r="L633" s="8"/>
      <c r="M633" s="8"/>
      <c r="N633" s="8"/>
      <c r="O633" s="8"/>
      <c r="P633" s="8"/>
      <c r="Q633" s="8"/>
      <c r="R633" s="8"/>
      <c r="S633" s="8"/>
      <c r="T633" s="82"/>
    </row>
    <row r="634" spans="1:20" ht="13.5" customHeight="1" x14ac:dyDescent="0.25">
      <c r="A634" s="307">
        <v>10</v>
      </c>
      <c r="B634" s="307"/>
      <c r="C634" s="170"/>
      <c r="D634" s="309"/>
      <c r="E634" s="170"/>
      <c r="F634" s="311"/>
      <c r="G634" s="313"/>
      <c r="H634" s="315"/>
      <c r="I634" s="8"/>
      <c r="J634" s="8"/>
      <c r="K634" s="8"/>
      <c r="L634" s="8"/>
      <c r="M634" s="8"/>
      <c r="N634" s="8"/>
      <c r="O634" s="8"/>
      <c r="P634" s="8"/>
      <c r="Q634" s="8"/>
      <c r="R634" s="8"/>
      <c r="S634" s="8"/>
      <c r="T634" s="82"/>
    </row>
    <row r="635" spans="1:20" ht="13.5" customHeight="1" x14ac:dyDescent="0.25">
      <c r="A635" s="308"/>
      <c r="B635" s="308"/>
      <c r="C635" s="171" t="str">
        <f>IFERROR(VLOOKUP(C634,Списки!$E:$F,2,0)," ")</f>
        <v xml:space="preserve"> </v>
      </c>
      <c r="D635" s="310"/>
      <c r="E635" s="171" t="str">
        <f>IFERROR(VLOOKUP(E634,Списки!$E:$F,2,0)," ")</f>
        <v xml:space="preserve"> </v>
      </c>
      <c r="F635" s="312"/>
      <c r="G635" s="314"/>
      <c r="H635" s="315"/>
      <c r="I635" s="8"/>
      <c r="J635" s="8"/>
      <c r="K635" s="8"/>
      <c r="L635" s="8"/>
      <c r="M635" s="8"/>
      <c r="N635" s="8"/>
      <c r="O635" s="8"/>
      <c r="P635" s="8"/>
      <c r="Q635" s="8"/>
      <c r="R635" s="8"/>
      <c r="S635" s="8"/>
      <c r="T635" s="82"/>
    </row>
    <row r="636" spans="1:20" ht="13.5" customHeight="1" x14ac:dyDescent="0.25">
      <c r="A636" s="307">
        <v>11</v>
      </c>
      <c r="B636" s="307"/>
      <c r="C636" s="170"/>
      <c r="D636" s="309"/>
      <c r="E636" s="170"/>
      <c r="F636" s="311"/>
      <c r="G636" s="313"/>
      <c r="H636" s="315"/>
      <c r="I636" s="8"/>
      <c r="J636" s="8"/>
      <c r="K636" s="8"/>
      <c r="L636" s="8"/>
      <c r="M636" s="8"/>
      <c r="N636" s="8"/>
      <c r="O636" s="8"/>
      <c r="P636" s="8"/>
      <c r="Q636" s="8"/>
      <c r="R636" s="8"/>
      <c r="S636" s="8"/>
      <c r="T636" s="82"/>
    </row>
    <row r="637" spans="1:20" ht="13.5" customHeight="1" x14ac:dyDescent="0.25">
      <c r="A637" s="308"/>
      <c r="B637" s="308"/>
      <c r="C637" s="171" t="str">
        <f>IFERROR(VLOOKUP(C636,Списки!$E:$F,2,0)," ")</f>
        <v xml:space="preserve"> </v>
      </c>
      <c r="D637" s="310"/>
      <c r="E637" s="171" t="str">
        <f>IFERROR(VLOOKUP(E636,Списки!$E:$F,2,0)," ")</f>
        <v xml:space="preserve"> </v>
      </c>
      <c r="F637" s="312"/>
      <c r="G637" s="314"/>
      <c r="H637" s="315"/>
      <c r="I637" s="8"/>
      <c r="J637" s="8"/>
      <c r="K637" s="8"/>
      <c r="L637" s="8"/>
      <c r="M637" s="8"/>
      <c r="N637" s="8"/>
      <c r="O637" s="8"/>
      <c r="P637" s="8"/>
      <c r="Q637" s="8"/>
      <c r="R637" s="8"/>
      <c r="S637" s="8"/>
      <c r="T637" s="82"/>
    </row>
    <row r="638" spans="1:20" ht="13.5" customHeight="1" x14ac:dyDescent="0.25">
      <c r="A638" s="307">
        <v>12</v>
      </c>
      <c r="B638" s="307"/>
      <c r="C638" s="170"/>
      <c r="D638" s="309"/>
      <c r="E638" s="170"/>
      <c r="F638" s="311"/>
      <c r="G638" s="313"/>
      <c r="H638" s="315"/>
      <c r="I638" s="8"/>
      <c r="J638" s="8"/>
      <c r="K638" s="8"/>
      <c r="L638" s="8"/>
      <c r="M638" s="8"/>
      <c r="N638" s="8"/>
      <c r="O638" s="8"/>
      <c r="P638" s="8"/>
      <c r="Q638" s="8"/>
      <c r="R638" s="8"/>
      <c r="S638" s="8"/>
      <c r="T638" s="82"/>
    </row>
    <row r="639" spans="1:20" ht="13.5" customHeight="1" x14ac:dyDescent="0.25">
      <c r="A639" s="308"/>
      <c r="B639" s="308"/>
      <c r="C639" s="171" t="str">
        <f>IFERROR(VLOOKUP(C638,Списки!$E:$F,2,0)," ")</f>
        <v xml:space="preserve"> </v>
      </c>
      <c r="D639" s="310"/>
      <c r="E639" s="171" t="str">
        <f>IFERROR(VLOOKUP(E638,Списки!$E:$F,2,0)," ")</f>
        <v xml:space="preserve"> </v>
      </c>
      <c r="F639" s="312"/>
      <c r="G639" s="314"/>
      <c r="H639" s="315"/>
      <c r="I639" s="8"/>
      <c r="J639" s="8"/>
      <c r="K639" s="8"/>
      <c r="L639" s="8"/>
      <c r="M639" s="8"/>
      <c r="N639" s="8"/>
      <c r="O639" s="8"/>
      <c r="P639" s="8"/>
      <c r="Q639" s="8"/>
      <c r="R639" s="8"/>
      <c r="S639" s="8"/>
      <c r="T639" s="82"/>
    </row>
    <row r="640" spans="1:20" ht="13.5" customHeight="1" x14ac:dyDescent="0.25">
      <c r="A640" s="307">
        <v>13</v>
      </c>
      <c r="B640" s="307"/>
      <c r="C640" s="170"/>
      <c r="D640" s="309"/>
      <c r="E640" s="170"/>
      <c r="F640" s="311"/>
      <c r="G640" s="313"/>
      <c r="H640" s="315"/>
      <c r="I640" s="8"/>
      <c r="J640" s="8"/>
      <c r="K640" s="8"/>
      <c r="L640" s="8"/>
      <c r="M640" s="8"/>
      <c r="N640" s="8"/>
      <c r="O640" s="8"/>
      <c r="P640" s="8"/>
      <c r="Q640" s="8"/>
      <c r="R640" s="8"/>
      <c r="S640" s="8"/>
      <c r="T640" s="82"/>
    </row>
    <row r="641" spans="1:20" ht="13.5" customHeight="1" x14ac:dyDescent="0.25">
      <c r="A641" s="308"/>
      <c r="B641" s="308"/>
      <c r="C641" s="171" t="str">
        <f>IFERROR(VLOOKUP(C640,Списки!$E:$F,2,0)," ")</f>
        <v xml:space="preserve"> </v>
      </c>
      <c r="D641" s="310"/>
      <c r="E641" s="171" t="str">
        <f>IFERROR(VLOOKUP(E640,Списки!$E:$F,2,0)," ")</f>
        <v xml:space="preserve"> </v>
      </c>
      <c r="F641" s="312"/>
      <c r="G641" s="314"/>
      <c r="H641" s="315"/>
      <c r="I641" s="8"/>
      <c r="J641" s="8"/>
      <c r="K641" s="8"/>
      <c r="L641" s="8"/>
      <c r="M641" s="8"/>
      <c r="N641" s="8"/>
      <c r="O641" s="8"/>
      <c r="P641" s="8"/>
      <c r="Q641" s="8"/>
      <c r="R641" s="8"/>
      <c r="S641" s="8"/>
      <c r="T641" s="82"/>
    </row>
    <row r="642" spans="1:20" ht="13.5" customHeight="1" x14ac:dyDescent="0.25">
      <c r="A642" s="307">
        <v>14</v>
      </c>
      <c r="B642" s="307"/>
      <c r="C642" s="170"/>
      <c r="D642" s="309"/>
      <c r="E642" s="170"/>
      <c r="F642" s="311"/>
      <c r="G642" s="313"/>
      <c r="H642" s="315"/>
      <c r="I642" s="8"/>
      <c r="J642" s="8"/>
      <c r="K642" s="8"/>
      <c r="L642" s="8"/>
      <c r="M642" s="8"/>
      <c r="N642" s="8"/>
      <c r="O642" s="8"/>
      <c r="P642" s="8"/>
      <c r="Q642" s="8"/>
      <c r="R642" s="8"/>
      <c r="S642" s="8"/>
      <c r="T642" s="82"/>
    </row>
    <row r="643" spans="1:20" ht="13.5" customHeight="1" x14ac:dyDescent="0.25">
      <c r="A643" s="308"/>
      <c r="B643" s="308"/>
      <c r="C643" s="171" t="str">
        <f>IFERROR(VLOOKUP(C642,Списки!$E:$F,2,0)," ")</f>
        <v xml:space="preserve"> </v>
      </c>
      <c r="D643" s="310"/>
      <c r="E643" s="171" t="str">
        <f>IFERROR(VLOOKUP(E642,Списки!$E:$F,2,0)," ")</f>
        <v xml:space="preserve"> </v>
      </c>
      <c r="F643" s="312"/>
      <c r="G643" s="314"/>
      <c r="H643" s="315"/>
      <c r="I643" s="8"/>
      <c r="J643" s="8"/>
      <c r="K643" s="8"/>
      <c r="L643" s="8"/>
      <c r="M643" s="8"/>
      <c r="N643" s="8"/>
      <c r="O643" s="8"/>
      <c r="P643" s="8"/>
      <c r="Q643" s="8"/>
      <c r="R643" s="8"/>
      <c r="S643" s="8"/>
      <c r="T643" s="82"/>
    </row>
    <row r="644" spans="1:20" ht="13.5" customHeight="1" x14ac:dyDescent="0.25">
      <c r="A644" s="307">
        <v>15</v>
      </c>
      <c r="B644" s="307"/>
      <c r="C644" s="170"/>
      <c r="D644" s="309"/>
      <c r="E644" s="170"/>
      <c r="F644" s="311"/>
      <c r="G644" s="313"/>
      <c r="H644" s="315"/>
      <c r="I644" s="8"/>
      <c r="J644" s="8"/>
      <c r="K644" s="8"/>
      <c r="L644" s="8"/>
      <c r="M644" s="8"/>
      <c r="N644" s="8"/>
      <c r="O644" s="8"/>
      <c r="P644" s="8"/>
      <c r="Q644" s="8"/>
      <c r="R644" s="8"/>
      <c r="S644" s="8"/>
      <c r="T644" s="82"/>
    </row>
    <row r="645" spans="1:20" ht="13.5" customHeight="1" x14ac:dyDescent="0.25">
      <c r="A645" s="308"/>
      <c r="B645" s="308"/>
      <c r="C645" s="171" t="str">
        <f>IFERROR(VLOOKUP(C644,Списки!$E:$F,2,0)," ")</f>
        <v xml:space="preserve"> </v>
      </c>
      <c r="D645" s="310"/>
      <c r="E645" s="171" t="str">
        <f>IFERROR(VLOOKUP(E644,Списки!$E:$F,2,0)," ")</f>
        <v xml:space="preserve"> </v>
      </c>
      <c r="F645" s="312"/>
      <c r="G645" s="314"/>
      <c r="H645" s="315"/>
      <c r="I645" s="8"/>
      <c r="J645" s="8"/>
      <c r="K645" s="8"/>
      <c r="L645" s="8"/>
      <c r="M645" s="8"/>
      <c r="N645" s="8"/>
      <c r="O645" s="8"/>
      <c r="P645" s="8"/>
      <c r="Q645" s="8"/>
      <c r="R645" s="8"/>
      <c r="S645" s="8"/>
      <c r="T645" s="82"/>
    </row>
    <row r="646" spans="1:20" x14ac:dyDescent="0.25">
      <c r="A646" s="36"/>
      <c r="B646" s="37"/>
      <c r="C646" s="173"/>
      <c r="D646" s="173"/>
      <c r="E646" s="174" t="s">
        <v>30</v>
      </c>
      <c r="F646" s="39">
        <f>IFERROR(SUM(IFERROR(IF((LOOKUP(9E+307,F616:F645))&gt;$M$39,(LOOKUP(9E+307,F616:F645))-$M$39,IF((LOOKUP(9E+307,F616:F645))&lt;0.166666667,0+(LOOKUP(9E+307,F616:F645))+1-$M$39,0)),0),(IF(AND(IF(D616,$M$38-D616,0)&gt;0,F616,F616&gt;D616),$M$38-D616,IF(AND(D616,F616,D616&gt;F616),"error",0)))),"ОШИБКА")</f>
        <v>0</v>
      </c>
      <c r="G646" s="40" t="s">
        <v>27</v>
      </c>
      <c r="H646" s="206">
        <f>SUM(H616:H645)</f>
        <v>0</v>
      </c>
      <c r="I646" s="8"/>
      <c r="J646" s="8"/>
      <c r="K646" s="8"/>
      <c r="L646" s="8"/>
      <c r="M646" s="8"/>
      <c r="N646" s="8"/>
      <c r="O646" s="8"/>
      <c r="P646" s="8"/>
      <c r="Q646" s="8"/>
      <c r="R646" s="8"/>
      <c r="S646" s="8"/>
      <c r="T646" s="82"/>
    </row>
    <row r="647" spans="1:20" ht="15.75" x14ac:dyDescent="0.25">
      <c r="A647" s="316">
        <f>DATE(K1,J1,20)</f>
        <v>43850</v>
      </c>
      <c r="B647" s="316"/>
      <c r="C647" s="316"/>
      <c r="D647" s="316"/>
      <c r="E647" s="316"/>
      <c r="F647" s="316"/>
      <c r="G647" s="316"/>
      <c r="H647" s="316"/>
      <c r="I647" s="8"/>
      <c r="J647" s="8"/>
      <c r="K647" s="8"/>
      <c r="L647" s="8"/>
      <c r="M647" s="8"/>
      <c r="N647" s="8"/>
      <c r="O647" s="8"/>
      <c r="P647" s="8"/>
      <c r="Q647" s="8"/>
      <c r="R647" s="8"/>
      <c r="S647" s="8"/>
      <c r="T647" s="82"/>
    </row>
    <row r="648" spans="1:20" ht="13.5" customHeight="1" x14ac:dyDescent="0.25">
      <c r="A648" s="318"/>
      <c r="B648" s="320" t="s">
        <v>34</v>
      </c>
      <c r="C648" s="205" t="s">
        <v>39</v>
      </c>
      <c r="D648" s="322" t="s">
        <v>36</v>
      </c>
      <c r="E648" s="205" t="s">
        <v>37</v>
      </c>
      <c r="F648" s="320" t="s">
        <v>36</v>
      </c>
      <c r="G648" s="324" t="s">
        <v>35</v>
      </c>
      <c r="H648" s="315" t="s">
        <v>40</v>
      </c>
      <c r="I648" s="8"/>
      <c r="J648" s="8"/>
      <c r="K648" s="8"/>
      <c r="L648" s="8"/>
      <c r="M648" s="8"/>
      <c r="N648" s="8"/>
      <c r="O648" s="8"/>
      <c r="P648" s="8"/>
      <c r="Q648" s="8"/>
      <c r="R648" s="8"/>
      <c r="S648" s="8"/>
      <c r="T648" s="82"/>
    </row>
    <row r="649" spans="1:20" ht="13.5" customHeight="1" x14ac:dyDescent="0.25">
      <c r="A649" s="319"/>
      <c r="B649" s="321"/>
      <c r="C649" s="204" t="s">
        <v>38</v>
      </c>
      <c r="D649" s="323"/>
      <c r="E649" s="204" t="s">
        <v>38</v>
      </c>
      <c r="F649" s="321"/>
      <c r="G649" s="325"/>
      <c r="H649" s="315"/>
      <c r="I649" s="8"/>
      <c r="J649" s="8"/>
      <c r="K649" s="8"/>
      <c r="L649" s="8"/>
      <c r="M649" s="8"/>
      <c r="N649" s="8"/>
      <c r="O649" s="8"/>
      <c r="P649" s="8"/>
      <c r="Q649" s="8"/>
      <c r="R649" s="8"/>
      <c r="S649" s="8"/>
      <c r="T649" s="82"/>
    </row>
    <row r="650" spans="1:20" ht="13.5" customHeight="1" x14ac:dyDescent="0.25">
      <c r="A650" s="307">
        <v>1</v>
      </c>
      <c r="B650" s="307" t="s">
        <v>194</v>
      </c>
      <c r="C650" s="170" t="s">
        <v>43</v>
      </c>
      <c r="D650" s="309"/>
      <c r="E650" s="257" t="s">
        <v>199</v>
      </c>
      <c r="F650" s="309">
        <v>0.28472222222222221</v>
      </c>
      <c r="G650" s="313"/>
      <c r="H650" s="315">
        <v>2</v>
      </c>
      <c r="I650" s="8"/>
      <c r="J650" s="8"/>
      <c r="K650" s="8"/>
      <c r="L650" s="8"/>
      <c r="M650" s="8"/>
      <c r="N650" s="8"/>
      <c r="O650" s="8"/>
      <c r="P650" s="8"/>
      <c r="Q650" s="8"/>
      <c r="R650" s="8"/>
      <c r="S650" s="8"/>
      <c r="T650" s="82"/>
    </row>
    <row r="651" spans="1:20" ht="13.5" customHeight="1" x14ac:dyDescent="0.25">
      <c r="A651" s="308"/>
      <c r="B651" s="308"/>
      <c r="C651" s="171" t="str">
        <f>IFERROR(VLOOKUP(C650,Списки!$E:$F,2,0)," ")</f>
        <v>SAVUSHKINA ST 128</v>
      </c>
      <c r="D651" s="310"/>
      <c r="E651" s="171" t="str">
        <f>IFERROR(VLOOKUP(E650,Списки!$E:$F,2,0)," ")</f>
        <v>ПРИМОРСКИЙ ПР. 137/1</v>
      </c>
      <c r="F651" s="310"/>
      <c r="G651" s="314"/>
      <c r="H651" s="315"/>
      <c r="I651" s="8"/>
      <c r="J651" s="8"/>
      <c r="K651" s="8"/>
      <c r="L651" s="8"/>
      <c r="M651" s="8"/>
      <c r="N651" s="8"/>
      <c r="O651" s="8"/>
      <c r="P651" s="8"/>
      <c r="Q651" s="8"/>
      <c r="R651" s="8"/>
      <c r="S651" s="8"/>
      <c r="T651" s="82"/>
    </row>
    <row r="652" spans="1:20" ht="13.5" customHeight="1" x14ac:dyDescent="0.25">
      <c r="A652" s="307">
        <v>2</v>
      </c>
      <c r="B652" s="307"/>
      <c r="C652" s="257" t="s">
        <v>199</v>
      </c>
      <c r="D652" s="309">
        <v>0.28472222222222221</v>
      </c>
      <c r="E652" s="257" t="s">
        <v>44</v>
      </c>
      <c r="F652" s="311">
        <v>0.2986111111111111</v>
      </c>
      <c r="G652" s="313"/>
      <c r="H652" s="315">
        <v>16</v>
      </c>
      <c r="I652" s="8"/>
      <c r="J652" s="8"/>
      <c r="K652" s="8"/>
      <c r="L652" s="8"/>
      <c r="M652" s="8"/>
      <c r="N652" s="8"/>
      <c r="O652" s="8"/>
      <c r="P652" s="8"/>
      <c r="Q652" s="8"/>
      <c r="R652" s="8"/>
      <c r="S652" s="8"/>
      <c r="T652" s="82"/>
    </row>
    <row r="653" spans="1:20" ht="13.5" customHeight="1" x14ac:dyDescent="0.25">
      <c r="A653" s="308"/>
      <c r="B653" s="308"/>
      <c r="C653" s="171" t="str">
        <f>IFERROR(VLOOKUP(C652,Списки!$E:$F,2,0)," ")</f>
        <v>ПРИМОРСКИЙ ПР. 137/1</v>
      </c>
      <c r="D653" s="310"/>
      <c r="E653" s="171" t="str">
        <f>IFERROR(VLOOKUP(E652,Списки!$E:$F,2,0)," ")</f>
        <v>LEVASHOVSKOE HWY 20</v>
      </c>
      <c r="F653" s="312"/>
      <c r="G653" s="314"/>
      <c r="H653" s="315"/>
      <c r="I653" s="8"/>
      <c r="J653" s="8"/>
      <c r="K653" s="8"/>
      <c r="L653" s="8"/>
      <c r="M653" s="8"/>
      <c r="N653" s="8"/>
      <c r="O653" s="8"/>
      <c r="P653" s="8"/>
      <c r="Q653" s="8"/>
      <c r="R653" s="8"/>
      <c r="S653" s="8"/>
      <c r="T653" s="82"/>
    </row>
    <row r="654" spans="1:20" ht="13.5" customHeight="1" x14ac:dyDescent="0.25">
      <c r="A654" s="307">
        <v>3</v>
      </c>
      <c r="B654" s="307" t="s">
        <v>83</v>
      </c>
      <c r="C654" s="257" t="s">
        <v>44</v>
      </c>
      <c r="D654" s="309">
        <v>0.4375</v>
      </c>
      <c r="E654" s="257" t="s">
        <v>74</v>
      </c>
      <c r="F654" s="311">
        <v>0.46527777777777773</v>
      </c>
      <c r="G654" s="313" t="s">
        <v>185</v>
      </c>
      <c r="H654" s="315">
        <v>25</v>
      </c>
      <c r="I654" s="8"/>
      <c r="J654" s="8"/>
      <c r="K654" s="8"/>
      <c r="L654" s="8"/>
      <c r="M654" s="8"/>
      <c r="N654" s="8"/>
      <c r="O654" s="8"/>
      <c r="P654" s="8"/>
      <c r="Q654" s="8"/>
      <c r="R654" s="8"/>
      <c r="S654" s="8"/>
      <c r="T654" s="82"/>
    </row>
    <row r="655" spans="1:20" ht="13.5" customHeight="1" x14ac:dyDescent="0.25">
      <c r="A655" s="308"/>
      <c r="B655" s="308"/>
      <c r="C655" s="171" t="str">
        <f>IFERROR(VLOOKUP(C654,Списки!$E:$F,2,0)," ")</f>
        <v>LEVASHOVSKOE HWY 20</v>
      </c>
      <c r="D655" s="310"/>
      <c r="E655" s="171" t="str">
        <f>IFERROR(VLOOKUP(E654,Списки!$E:$F,2,0)," ")</f>
        <v>ITALYANSKAYA ST 5</v>
      </c>
      <c r="F655" s="312"/>
      <c r="G655" s="314"/>
      <c r="H655" s="315"/>
      <c r="I655" s="8"/>
      <c r="J655" s="8"/>
      <c r="K655" s="8"/>
      <c r="L655" s="8"/>
      <c r="M655" s="8"/>
      <c r="N655" s="8"/>
      <c r="O655" s="8"/>
      <c r="P655" s="8"/>
      <c r="Q655" s="8"/>
      <c r="R655" s="8"/>
      <c r="S655" s="8"/>
      <c r="T655" s="82"/>
    </row>
    <row r="656" spans="1:20" ht="13.5" customHeight="1" x14ac:dyDescent="0.25">
      <c r="A656" s="307">
        <v>4</v>
      </c>
      <c r="B656" s="307" t="s">
        <v>194</v>
      </c>
      <c r="C656" s="257" t="s">
        <v>74</v>
      </c>
      <c r="D656" s="309">
        <v>0.47916666666666669</v>
      </c>
      <c r="E656" s="257" t="s">
        <v>224</v>
      </c>
      <c r="F656" s="311">
        <v>0.5</v>
      </c>
      <c r="G656" s="313" t="s">
        <v>86</v>
      </c>
      <c r="H656" s="315">
        <v>6</v>
      </c>
      <c r="I656" s="8"/>
      <c r="J656" s="8"/>
      <c r="K656" s="8"/>
      <c r="L656" s="8"/>
      <c r="M656" s="8"/>
      <c r="N656" s="8"/>
      <c r="O656" s="8"/>
      <c r="P656" s="8"/>
      <c r="Q656" s="8"/>
      <c r="R656" s="8"/>
      <c r="S656" s="8"/>
      <c r="T656" s="82"/>
    </row>
    <row r="657" spans="1:20" ht="13.5" customHeight="1" x14ac:dyDescent="0.25">
      <c r="A657" s="308"/>
      <c r="B657" s="308"/>
      <c r="C657" s="171" t="str">
        <f>IFERROR(VLOOKUP(C656,Списки!$E:$F,2,0)," ")</f>
        <v>ITALYANSKAYA ST 5</v>
      </c>
      <c r="D657" s="310"/>
      <c r="E657" s="171" t="str">
        <f>IFERROR(VLOOKUP(E656,Списки!$E:$F,2,0)," ")</f>
        <v>OBVOD KANALA EMB 118AB</v>
      </c>
      <c r="F657" s="312"/>
      <c r="G657" s="314"/>
      <c r="H657" s="315"/>
      <c r="I657" s="8"/>
      <c r="J657" s="8"/>
      <c r="K657" s="8"/>
      <c r="L657" s="8"/>
      <c r="M657" s="8"/>
      <c r="N657" s="8"/>
      <c r="O657" s="8"/>
      <c r="P657" s="8"/>
      <c r="Q657" s="8"/>
      <c r="R657" s="8"/>
      <c r="S657" s="8"/>
      <c r="T657" s="82"/>
    </row>
    <row r="658" spans="1:20" ht="13.5" customHeight="1" x14ac:dyDescent="0.25">
      <c r="A658" s="307">
        <v>5</v>
      </c>
      <c r="B658" s="307" t="s">
        <v>105</v>
      </c>
      <c r="C658" s="257" t="s">
        <v>224</v>
      </c>
      <c r="D658" s="309">
        <v>0.52083333333333337</v>
      </c>
      <c r="E658" s="258" t="s">
        <v>394</v>
      </c>
      <c r="F658" s="311">
        <v>0.55555555555555558</v>
      </c>
      <c r="G658" s="313" t="s">
        <v>131</v>
      </c>
      <c r="H658" s="315">
        <v>20</v>
      </c>
      <c r="I658" s="8"/>
      <c r="J658" s="8"/>
      <c r="K658" s="8"/>
      <c r="L658" s="8"/>
      <c r="M658" s="8"/>
      <c r="N658" s="8"/>
      <c r="O658" s="8"/>
      <c r="P658" s="8"/>
      <c r="Q658" s="8"/>
      <c r="R658" s="8"/>
      <c r="S658" s="8"/>
      <c r="T658" s="82"/>
    </row>
    <row r="659" spans="1:20" ht="13.5" customHeight="1" x14ac:dyDescent="0.25">
      <c r="A659" s="308"/>
      <c r="B659" s="308"/>
      <c r="C659" s="171" t="str">
        <f>IFERROR(VLOOKUP(C658,Списки!$E:$F,2,0)," ")</f>
        <v>OBVOD KANALA EMB 118AB</v>
      </c>
      <c r="D659" s="310"/>
      <c r="E659" s="172" t="str">
        <f>IFERROR(VLOOKUP(E658,Списки!$E:$F,2,0)," ")</f>
        <v>YANINO SHOSS ST 114</v>
      </c>
      <c r="F659" s="312"/>
      <c r="G659" s="314"/>
      <c r="H659" s="315"/>
      <c r="I659" s="8"/>
      <c r="J659" s="8"/>
      <c r="K659" s="8"/>
      <c r="L659" s="8"/>
      <c r="M659" s="8"/>
      <c r="N659" s="8"/>
      <c r="O659" s="8"/>
      <c r="P659" s="8"/>
      <c r="Q659" s="8"/>
      <c r="R659" s="8"/>
      <c r="S659" s="8"/>
      <c r="T659" s="82"/>
    </row>
    <row r="660" spans="1:20" ht="13.5" customHeight="1" x14ac:dyDescent="0.25">
      <c r="A660" s="307">
        <v>6</v>
      </c>
      <c r="B660" s="307"/>
      <c r="C660" s="258" t="s">
        <v>394</v>
      </c>
      <c r="D660" s="309">
        <v>0.58333333333333337</v>
      </c>
      <c r="E660" s="257" t="s">
        <v>44</v>
      </c>
      <c r="F660" s="311">
        <v>0.6875</v>
      </c>
      <c r="G660" s="313"/>
      <c r="H660" s="315">
        <v>41</v>
      </c>
      <c r="I660" s="8"/>
      <c r="J660" s="8"/>
      <c r="K660" s="8"/>
      <c r="L660" s="8"/>
      <c r="M660" s="8"/>
      <c r="N660" s="8"/>
      <c r="O660" s="8"/>
      <c r="P660" s="8"/>
      <c r="Q660" s="8"/>
      <c r="R660" s="8"/>
      <c r="S660" s="8"/>
      <c r="T660" s="82"/>
    </row>
    <row r="661" spans="1:20" ht="13.5" customHeight="1" x14ac:dyDescent="0.25">
      <c r="A661" s="308"/>
      <c r="B661" s="308"/>
      <c r="C661" s="171" t="str">
        <f>IFERROR(VLOOKUP(C660,Списки!$E:$F,2,0)," ")</f>
        <v>YANINO SHOSS ST 114</v>
      </c>
      <c r="D661" s="310"/>
      <c r="E661" s="179" t="str">
        <f>IFERROR(VLOOKUP(E660,Списки!$E:$F,2,0)," ")</f>
        <v>LEVASHOVSKOE HWY 20</v>
      </c>
      <c r="F661" s="312"/>
      <c r="G661" s="314"/>
      <c r="H661" s="315"/>
      <c r="I661" s="8"/>
      <c r="J661" s="8"/>
      <c r="K661" s="8"/>
      <c r="L661" s="8"/>
      <c r="M661" s="8"/>
      <c r="N661" s="8"/>
      <c r="O661" s="8"/>
      <c r="P661" s="8"/>
      <c r="Q661" s="8"/>
      <c r="R661" s="8"/>
      <c r="S661" s="8"/>
      <c r="T661" s="82"/>
    </row>
    <row r="662" spans="1:20" ht="13.5" customHeight="1" x14ac:dyDescent="0.25">
      <c r="A662" s="307">
        <v>7</v>
      </c>
      <c r="B662" s="307"/>
      <c r="C662" s="257" t="s">
        <v>44</v>
      </c>
      <c r="D662" s="309">
        <v>0.70833333333333337</v>
      </c>
      <c r="E662" s="257" t="s">
        <v>45</v>
      </c>
      <c r="F662" s="311"/>
      <c r="G662" s="313"/>
      <c r="H662" s="315">
        <v>16</v>
      </c>
      <c r="I662" s="8"/>
      <c r="J662" s="8"/>
      <c r="K662" s="8"/>
      <c r="L662" s="8"/>
      <c r="M662" s="8"/>
      <c r="N662" s="8"/>
      <c r="O662" s="8"/>
      <c r="P662" s="8"/>
      <c r="Q662" s="8"/>
      <c r="R662" s="8"/>
      <c r="S662" s="8"/>
      <c r="T662" s="82"/>
    </row>
    <row r="663" spans="1:20" ht="13.5" customHeight="1" x14ac:dyDescent="0.25">
      <c r="A663" s="308"/>
      <c r="B663" s="308"/>
      <c r="C663" s="179" t="str">
        <f>IFERROR(VLOOKUP(C662,Списки!$E:$F,2,0)," ")</f>
        <v>LEVASHOVSKOE HWY 20</v>
      </c>
      <c r="D663" s="310"/>
      <c r="E663" s="171" t="str">
        <f>IFERROR(VLOOKUP(E662,Списки!$E:$F,2,0)," ")</f>
        <v>SAVUSHKINA ST 128</v>
      </c>
      <c r="F663" s="312"/>
      <c r="G663" s="314"/>
      <c r="H663" s="315"/>
      <c r="I663" s="8"/>
      <c r="J663" s="8"/>
      <c r="K663" s="8"/>
      <c r="L663" s="8"/>
      <c r="M663" s="8"/>
      <c r="N663" s="8"/>
      <c r="O663" s="8"/>
      <c r="P663" s="8"/>
      <c r="Q663" s="8"/>
      <c r="R663" s="8"/>
      <c r="S663" s="8"/>
      <c r="T663" s="82"/>
    </row>
    <row r="664" spans="1:20" ht="13.5" customHeight="1" x14ac:dyDescent="0.25">
      <c r="A664" s="307">
        <v>8</v>
      </c>
      <c r="B664" s="307"/>
      <c r="C664" s="170"/>
      <c r="D664" s="309"/>
      <c r="E664" s="170"/>
      <c r="F664" s="311"/>
      <c r="G664" s="313"/>
      <c r="H664" s="315"/>
      <c r="I664" s="8"/>
      <c r="J664" s="8"/>
      <c r="K664" s="8"/>
      <c r="L664" s="8"/>
      <c r="M664" s="8"/>
      <c r="N664" s="8"/>
      <c r="O664" s="8"/>
      <c r="P664" s="8"/>
      <c r="Q664" s="8"/>
      <c r="R664" s="8"/>
      <c r="S664" s="8"/>
      <c r="T664" s="82"/>
    </row>
    <row r="665" spans="1:20" ht="13.5" customHeight="1" x14ac:dyDescent="0.25">
      <c r="A665" s="308"/>
      <c r="B665" s="308"/>
      <c r="C665" s="179" t="str">
        <f>IFERROR(VLOOKUP(C664,Списки!$E:$F,2,0)," ")</f>
        <v xml:space="preserve"> </v>
      </c>
      <c r="D665" s="310"/>
      <c r="E665" s="171" t="str">
        <f>IFERROR(VLOOKUP(E664,Списки!$E:$F,2,0)," ")</f>
        <v xml:space="preserve"> </v>
      </c>
      <c r="F665" s="312"/>
      <c r="G665" s="314"/>
      <c r="H665" s="315"/>
      <c r="I665" s="8"/>
      <c r="J665" s="8"/>
      <c r="K665" s="8"/>
      <c r="L665" s="8"/>
      <c r="M665" s="8"/>
      <c r="N665" s="8"/>
      <c r="O665" s="8"/>
      <c r="P665" s="8"/>
      <c r="Q665" s="8"/>
      <c r="R665" s="8"/>
      <c r="S665" s="8"/>
      <c r="T665" s="82"/>
    </row>
    <row r="666" spans="1:20" ht="13.5" customHeight="1" x14ac:dyDescent="0.25">
      <c r="A666" s="307">
        <v>9</v>
      </c>
      <c r="B666" s="307"/>
      <c r="C666" s="170"/>
      <c r="D666" s="309"/>
      <c r="E666" s="170"/>
      <c r="F666" s="311"/>
      <c r="G666" s="313"/>
      <c r="H666" s="315"/>
      <c r="I666" s="8"/>
      <c r="J666" s="8"/>
      <c r="K666" s="8"/>
      <c r="L666" s="8"/>
      <c r="M666" s="8"/>
      <c r="N666" s="8"/>
      <c r="O666" s="8"/>
      <c r="P666" s="8"/>
      <c r="Q666" s="8"/>
      <c r="R666" s="8"/>
      <c r="S666" s="8"/>
      <c r="T666" s="82"/>
    </row>
    <row r="667" spans="1:20" ht="13.5" customHeight="1" x14ac:dyDescent="0.25">
      <c r="A667" s="308"/>
      <c r="B667" s="308"/>
      <c r="C667" s="171" t="str">
        <f>IFERROR(VLOOKUP(C666,Списки!$E:$F,2,0)," ")</f>
        <v xml:space="preserve"> </v>
      </c>
      <c r="D667" s="310"/>
      <c r="E667" s="171" t="str">
        <f>IFERROR(VLOOKUP(E666,Списки!$E:$F,2,0)," ")</f>
        <v xml:space="preserve"> </v>
      </c>
      <c r="F667" s="312"/>
      <c r="G667" s="314"/>
      <c r="H667" s="315"/>
      <c r="I667" s="8"/>
      <c r="J667" s="8"/>
      <c r="K667" s="8"/>
      <c r="L667" s="8"/>
      <c r="M667" s="8"/>
      <c r="N667" s="8"/>
      <c r="O667" s="8"/>
      <c r="P667" s="8"/>
      <c r="Q667" s="8"/>
      <c r="R667" s="8"/>
      <c r="S667" s="8"/>
      <c r="T667" s="82"/>
    </row>
    <row r="668" spans="1:20" ht="13.5" customHeight="1" x14ac:dyDescent="0.25">
      <c r="A668" s="307">
        <v>10</v>
      </c>
      <c r="B668" s="307"/>
      <c r="C668" s="170"/>
      <c r="D668" s="309"/>
      <c r="E668" s="170"/>
      <c r="F668" s="311"/>
      <c r="G668" s="313"/>
      <c r="H668" s="315"/>
      <c r="I668" s="8"/>
      <c r="J668" s="8"/>
      <c r="K668" s="8"/>
      <c r="L668" s="8"/>
      <c r="M668" s="8"/>
      <c r="N668" s="8"/>
      <c r="O668" s="8"/>
      <c r="P668" s="8"/>
      <c r="Q668" s="8"/>
      <c r="R668" s="8"/>
      <c r="S668" s="8"/>
      <c r="T668" s="82"/>
    </row>
    <row r="669" spans="1:20" ht="13.5" customHeight="1" x14ac:dyDescent="0.25">
      <c r="A669" s="308"/>
      <c r="B669" s="308"/>
      <c r="C669" s="171" t="str">
        <f>IFERROR(VLOOKUP(C668,Списки!$E:$F,2,0)," ")</f>
        <v xml:space="preserve"> </v>
      </c>
      <c r="D669" s="310"/>
      <c r="E669" s="171" t="str">
        <f>IFERROR(VLOOKUP(E668,Списки!$E:$F,2,0)," ")</f>
        <v xml:space="preserve"> </v>
      </c>
      <c r="F669" s="312"/>
      <c r="G669" s="314"/>
      <c r="H669" s="315"/>
      <c r="I669" s="8"/>
      <c r="J669" s="8"/>
      <c r="K669" s="8"/>
      <c r="L669" s="8"/>
      <c r="M669" s="8"/>
      <c r="N669" s="8"/>
      <c r="O669" s="8"/>
      <c r="P669" s="8"/>
      <c r="Q669" s="8"/>
      <c r="R669" s="8"/>
      <c r="S669" s="8"/>
      <c r="T669" s="82"/>
    </row>
    <row r="670" spans="1:20" ht="13.5" customHeight="1" x14ac:dyDescent="0.25">
      <c r="A670" s="307">
        <v>11</v>
      </c>
      <c r="B670" s="307"/>
      <c r="C670" s="170"/>
      <c r="D670" s="309"/>
      <c r="E670" s="170"/>
      <c r="F670" s="311"/>
      <c r="G670" s="313"/>
      <c r="H670" s="315"/>
      <c r="I670" s="8"/>
      <c r="J670" s="8"/>
      <c r="K670" s="8"/>
      <c r="L670" s="8"/>
      <c r="M670" s="8"/>
      <c r="N670" s="8"/>
      <c r="O670" s="8"/>
      <c r="P670" s="8"/>
      <c r="Q670" s="8"/>
      <c r="R670" s="8"/>
      <c r="S670" s="8"/>
      <c r="T670" s="82"/>
    </row>
    <row r="671" spans="1:20" ht="13.5" customHeight="1" x14ac:dyDescent="0.25">
      <c r="A671" s="308"/>
      <c r="B671" s="308"/>
      <c r="C671" s="171" t="str">
        <f>IFERROR(VLOOKUP(C670,Списки!$E:$F,2,0)," ")</f>
        <v xml:space="preserve"> </v>
      </c>
      <c r="D671" s="310"/>
      <c r="E671" s="171" t="str">
        <f>IFERROR(VLOOKUP(E670,Списки!$E:$F,2,0)," ")</f>
        <v xml:space="preserve"> </v>
      </c>
      <c r="F671" s="312"/>
      <c r="G671" s="314"/>
      <c r="H671" s="315"/>
      <c r="I671" s="8"/>
      <c r="J671" s="8"/>
      <c r="K671" s="8"/>
      <c r="L671" s="8"/>
      <c r="M671" s="8"/>
      <c r="N671" s="8"/>
      <c r="O671" s="8"/>
      <c r="P671" s="8"/>
      <c r="Q671" s="8"/>
      <c r="R671" s="8"/>
      <c r="S671" s="8"/>
      <c r="T671" s="82"/>
    </row>
    <row r="672" spans="1:20" ht="13.5" customHeight="1" x14ac:dyDescent="0.25">
      <c r="A672" s="307">
        <v>12</v>
      </c>
      <c r="B672" s="307"/>
      <c r="C672" s="170"/>
      <c r="D672" s="309"/>
      <c r="E672" s="170"/>
      <c r="F672" s="311"/>
      <c r="G672" s="313"/>
      <c r="H672" s="315"/>
      <c r="I672" s="8"/>
      <c r="J672" s="8"/>
      <c r="K672" s="8"/>
      <c r="L672" s="8"/>
      <c r="M672" s="8"/>
      <c r="N672" s="8"/>
      <c r="O672" s="8"/>
      <c r="P672" s="8"/>
      <c r="Q672" s="8"/>
      <c r="R672" s="8"/>
      <c r="S672" s="8"/>
      <c r="T672" s="82"/>
    </row>
    <row r="673" spans="1:20" ht="13.5" customHeight="1" x14ac:dyDescent="0.25">
      <c r="A673" s="308"/>
      <c r="B673" s="308"/>
      <c r="C673" s="171" t="str">
        <f>IFERROR(VLOOKUP(C672,Списки!$E:$F,2,0)," ")</f>
        <v xml:space="preserve"> </v>
      </c>
      <c r="D673" s="310"/>
      <c r="E673" s="171" t="str">
        <f>IFERROR(VLOOKUP(E672,Списки!$E:$F,2,0)," ")</f>
        <v xml:space="preserve"> </v>
      </c>
      <c r="F673" s="312"/>
      <c r="G673" s="314"/>
      <c r="H673" s="315"/>
      <c r="I673" s="8"/>
      <c r="J673" s="8"/>
      <c r="K673" s="8"/>
      <c r="L673" s="8"/>
      <c r="M673" s="8"/>
      <c r="N673" s="8"/>
      <c r="O673" s="8"/>
      <c r="P673" s="8"/>
      <c r="Q673" s="8"/>
      <c r="R673" s="8"/>
      <c r="S673" s="8"/>
      <c r="T673" s="82"/>
    </row>
    <row r="674" spans="1:20" ht="13.5" customHeight="1" x14ac:dyDescent="0.25">
      <c r="A674" s="307">
        <v>13</v>
      </c>
      <c r="B674" s="307"/>
      <c r="C674" s="170"/>
      <c r="D674" s="309"/>
      <c r="E674" s="170"/>
      <c r="F674" s="311"/>
      <c r="G674" s="313"/>
      <c r="H674" s="315"/>
      <c r="I674" s="8"/>
      <c r="J674" s="8"/>
      <c r="K674" s="8"/>
      <c r="L674" s="8"/>
      <c r="M674" s="8"/>
      <c r="N674" s="8"/>
      <c r="O674" s="8"/>
      <c r="P674" s="8"/>
      <c r="Q674" s="8"/>
      <c r="R674" s="8"/>
      <c r="S674" s="8"/>
      <c r="T674" s="82"/>
    </row>
    <row r="675" spans="1:20" ht="13.5" customHeight="1" x14ac:dyDescent="0.25">
      <c r="A675" s="308"/>
      <c r="B675" s="308"/>
      <c r="C675" s="171" t="str">
        <f>IFERROR(VLOOKUP(C674,Списки!$E:$F,2,0)," ")</f>
        <v xml:space="preserve"> </v>
      </c>
      <c r="D675" s="310"/>
      <c r="E675" s="171" t="str">
        <f>IFERROR(VLOOKUP(E674,Списки!$E:$F,2,0)," ")</f>
        <v xml:space="preserve"> </v>
      </c>
      <c r="F675" s="312"/>
      <c r="G675" s="314"/>
      <c r="H675" s="315"/>
      <c r="I675" s="8"/>
      <c r="J675" s="8"/>
      <c r="K675" s="8"/>
      <c r="L675" s="8"/>
      <c r="M675" s="8"/>
      <c r="N675" s="8"/>
      <c r="O675" s="8"/>
      <c r="P675" s="8"/>
      <c r="Q675" s="8"/>
      <c r="R675" s="8"/>
      <c r="S675" s="8"/>
      <c r="T675" s="82"/>
    </row>
    <row r="676" spans="1:20" ht="13.5" customHeight="1" x14ac:dyDescent="0.25">
      <c r="A676" s="307">
        <v>14</v>
      </c>
      <c r="B676" s="307"/>
      <c r="C676" s="170"/>
      <c r="D676" s="309"/>
      <c r="E676" s="170"/>
      <c r="F676" s="311"/>
      <c r="G676" s="313"/>
      <c r="H676" s="315"/>
      <c r="I676" s="8"/>
      <c r="J676" s="8"/>
      <c r="K676" s="8"/>
      <c r="L676" s="8"/>
      <c r="M676" s="8"/>
      <c r="N676" s="8"/>
      <c r="O676" s="8"/>
      <c r="P676" s="8"/>
      <c r="Q676" s="8"/>
      <c r="R676" s="8"/>
      <c r="S676" s="8"/>
      <c r="T676" s="82"/>
    </row>
    <row r="677" spans="1:20" ht="13.5" customHeight="1" x14ac:dyDescent="0.25">
      <c r="A677" s="308"/>
      <c r="B677" s="308"/>
      <c r="C677" s="171" t="str">
        <f>IFERROR(VLOOKUP(C676,Списки!$E:$F,2,0)," ")</f>
        <v xml:space="preserve"> </v>
      </c>
      <c r="D677" s="310"/>
      <c r="E677" s="171" t="str">
        <f>IFERROR(VLOOKUP(E676,Списки!$E:$F,2,0)," ")</f>
        <v xml:space="preserve"> </v>
      </c>
      <c r="F677" s="312"/>
      <c r="G677" s="314"/>
      <c r="H677" s="315"/>
      <c r="I677" s="8"/>
      <c r="J677" s="8"/>
      <c r="K677" s="8"/>
      <c r="L677" s="8"/>
      <c r="M677" s="8"/>
      <c r="N677" s="8"/>
      <c r="O677" s="8"/>
      <c r="P677" s="8"/>
      <c r="Q677" s="8"/>
      <c r="R677" s="8"/>
      <c r="S677" s="8"/>
      <c r="T677" s="82"/>
    </row>
    <row r="678" spans="1:20" ht="13.5" customHeight="1" x14ac:dyDescent="0.25">
      <c r="A678" s="307">
        <v>15</v>
      </c>
      <c r="B678" s="307"/>
      <c r="C678" s="170"/>
      <c r="D678" s="309"/>
      <c r="E678" s="170"/>
      <c r="F678" s="311"/>
      <c r="G678" s="313"/>
      <c r="H678" s="315"/>
      <c r="I678" s="8"/>
      <c r="J678" s="8"/>
      <c r="K678" s="8"/>
      <c r="L678" s="8"/>
      <c r="M678" s="8"/>
      <c r="N678" s="8"/>
      <c r="O678" s="8"/>
      <c r="P678" s="8"/>
      <c r="Q678" s="8"/>
      <c r="R678" s="8"/>
      <c r="S678" s="8"/>
      <c r="T678" s="82"/>
    </row>
    <row r="679" spans="1:20" ht="13.5" customHeight="1" x14ac:dyDescent="0.25">
      <c r="A679" s="308"/>
      <c r="B679" s="308"/>
      <c r="C679" s="171" t="str">
        <f>IFERROR(VLOOKUP(C678,Списки!$E:$F,2,0)," ")</f>
        <v xml:space="preserve"> </v>
      </c>
      <c r="D679" s="310"/>
      <c r="E679" s="171" t="str">
        <f>IFERROR(VLOOKUP(E678,Списки!$E:$F,2,0)," ")</f>
        <v xml:space="preserve"> </v>
      </c>
      <c r="F679" s="312"/>
      <c r="G679" s="314"/>
      <c r="H679" s="315"/>
      <c r="I679" s="8"/>
      <c r="J679" s="8"/>
      <c r="K679" s="8"/>
      <c r="L679" s="8"/>
      <c r="M679" s="8"/>
      <c r="N679" s="8"/>
      <c r="O679" s="8"/>
      <c r="P679" s="8"/>
      <c r="Q679" s="8"/>
      <c r="R679" s="8"/>
      <c r="S679" s="8"/>
      <c r="T679" s="82"/>
    </row>
    <row r="680" spans="1:20" x14ac:dyDescent="0.25">
      <c r="A680" s="36"/>
      <c r="B680" s="37"/>
      <c r="C680" s="173"/>
      <c r="D680" s="173"/>
      <c r="E680" s="174" t="s">
        <v>30</v>
      </c>
      <c r="F680" s="39">
        <f>IFERROR(SUM(IFERROR(IF((LOOKUP(9E+307,F650:F679))&gt;$M$39,(LOOKUP(9E+307,F650:F679))-$M$39,IF((LOOKUP(9E+307,F650:F679))&lt;0.166666667,0+(LOOKUP(9E+307,F650:F679))+1-$M$39,0)),0),(IF(AND(IF(D650,$M$38-D650,0)&gt;0,F650,F650&gt;D650),$M$38-D650,IF(AND(D650,F650,D650&gt;F650),"error",0)))),"ОШИБКА")</f>
        <v>0</v>
      </c>
      <c r="G680" s="40" t="s">
        <v>27</v>
      </c>
      <c r="H680" s="206">
        <f>SUM(H650:H679)</f>
        <v>126</v>
      </c>
      <c r="I680" s="8"/>
      <c r="J680" s="8"/>
      <c r="K680" s="8"/>
      <c r="L680" s="8"/>
      <c r="M680" s="8"/>
      <c r="N680" s="8"/>
      <c r="O680" s="8"/>
      <c r="P680" s="8"/>
      <c r="Q680" s="8"/>
      <c r="R680" s="8"/>
      <c r="S680" s="8"/>
      <c r="T680" s="82"/>
    </row>
    <row r="681" spans="1:20" ht="15.75" x14ac:dyDescent="0.25">
      <c r="A681" s="316">
        <f>DATE(K1,J1,21)</f>
        <v>43851</v>
      </c>
      <c r="B681" s="316"/>
      <c r="C681" s="316"/>
      <c r="D681" s="316"/>
      <c r="E681" s="316"/>
      <c r="F681" s="316"/>
      <c r="G681" s="316"/>
      <c r="H681" s="317"/>
      <c r="I681" s="8"/>
      <c r="J681" s="8"/>
      <c r="K681" s="8"/>
      <c r="L681" s="8"/>
      <c r="M681" s="8"/>
      <c r="N681" s="8"/>
      <c r="O681" s="8"/>
      <c r="P681" s="8"/>
      <c r="Q681" s="8"/>
      <c r="R681" s="8"/>
      <c r="S681" s="8"/>
      <c r="T681" s="82"/>
    </row>
    <row r="682" spans="1:20" ht="13.5" customHeight="1" x14ac:dyDescent="0.25">
      <c r="A682" s="318"/>
      <c r="B682" s="320" t="s">
        <v>34</v>
      </c>
      <c r="C682" s="205" t="s">
        <v>39</v>
      </c>
      <c r="D682" s="322" t="s">
        <v>36</v>
      </c>
      <c r="E682" s="205" t="s">
        <v>37</v>
      </c>
      <c r="F682" s="320" t="s">
        <v>36</v>
      </c>
      <c r="G682" s="324" t="s">
        <v>35</v>
      </c>
      <c r="H682" s="315" t="s">
        <v>40</v>
      </c>
      <c r="I682" s="8"/>
      <c r="J682" s="8"/>
      <c r="K682" s="8"/>
      <c r="L682" s="8"/>
      <c r="M682" s="8"/>
      <c r="N682" s="8"/>
      <c r="O682" s="8"/>
      <c r="P682" s="8"/>
      <c r="Q682" s="8"/>
      <c r="R682" s="8"/>
      <c r="S682" s="8"/>
      <c r="T682" s="82"/>
    </row>
    <row r="683" spans="1:20" ht="13.5" customHeight="1" x14ac:dyDescent="0.25">
      <c r="A683" s="319"/>
      <c r="B683" s="321"/>
      <c r="C683" s="204" t="s">
        <v>38</v>
      </c>
      <c r="D683" s="323"/>
      <c r="E683" s="204" t="s">
        <v>38</v>
      </c>
      <c r="F683" s="321"/>
      <c r="G683" s="325"/>
      <c r="H683" s="315"/>
      <c r="I683" s="8"/>
      <c r="J683" s="8"/>
      <c r="K683" s="8"/>
      <c r="L683" s="8"/>
      <c r="M683" s="8"/>
      <c r="N683" s="8"/>
      <c r="O683" s="8"/>
      <c r="P683" s="8"/>
      <c r="Q683" s="8"/>
      <c r="R683" s="8"/>
      <c r="S683" s="8"/>
      <c r="T683" s="82"/>
    </row>
    <row r="684" spans="1:20" ht="13.5" customHeight="1" x14ac:dyDescent="0.25">
      <c r="A684" s="307">
        <v>1</v>
      </c>
      <c r="B684" s="307"/>
      <c r="C684" s="170" t="s">
        <v>43</v>
      </c>
      <c r="D684" s="309"/>
      <c r="E684" s="170" t="s">
        <v>44</v>
      </c>
      <c r="F684" s="311">
        <v>0.375</v>
      </c>
      <c r="G684" s="313"/>
      <c r="H684" s="315">
        <v>17</v>
      </c>
      <c r="I684" s="8"/>
      <c r="J684" s="8"/>
      <c r="K684" s="8"/>
      <c r="L684" s="8"/>
      <c r="M684" s="8"/>
      <c r="N684" s="8"/>
      <c r="O684" s="8"/>
      <c r="P684" s="8"/>
      <c r="Q684" s="8"/>
      <c r="R684" s="8"/>
      <c r="S684" s="8"/>
      <c r="T684" s="82"/>
    </row>
    <row r="685" spans="1:20" ht="13.5" customHeight="1" x14ac:dyDescent="0.25">
      <c r="A685" s="308"/>
      <c r="B685" s="308"/>
      <c r="C685" s="171" t="str">
        <f>IFERROR(VLOOKUP(C684,Списки!$E:$F,2,0)," ")</f>
        <v>SAVUSHKINA ST 128</v>
      </c>
      <c r="D685" s="310"/>
      <c r="E685" s="171" t="str">
        <f>IFERROR(VLOOKUP(E684,Списки!$E:$F,2,0)," ")</f>
        <v>LEVASHOVSKOE HWY 20</v>
      </c>
      <c r="F685" s="312"/>
      <c r="G685" s="314"/>
      <c r="H685" s="315"/>
      <c r="I685" s="8"/>
      <c r="J685" s="8"/>
      <c r="K685" s="8"/>
      <c r="L685" s="8"/>
      <c r="M685" s="8"/>
      <c r="N685" s="8"/>
      <c r="O685" s="8"/>
      <c r="P685" s="8"/>
      <c r="Q685" s="8"/>
      <c r="R685" s="8"/>
      <c r="S685" s="8"/>
      <c r="T685" s="82"/>
    </row>
    <row r="686" spans="1:20" ht="13.5" customHeight="1" x14ac:dyDescent="0.25">
      <c r="A686" s="307">
        <v>2</v>
      </c>
      <c r="B686" s="307" t="s">
        <v>51</v>
      </c>
      <c r="C686" s="170" t="s">
        <v>44</v>
      </c>
      <c r="D686" s="309">
        <v>0.40277777777777773</v>
      </c>
      <c r="E686" s="257" t="s">
        <v>52</v>
      </c>
      <c r="F686" s="311">
        <v>0.40972222222222227</v>
      </c>
      <c r="G686" s="313" t="s">
        <v>400</v>
      </c>
      <c r="H686" s="315" t="s">
        <v>338</v>
      </c>
      <c r="I686" s="8"/>
      <c r="J686" s="8"/>
      <c r="K686" s="8"/>
      <c r="L686" s="8"/>
      <c r="M686" s="8"/>
      <c r="N686" s="8"/>
      <c r="O686" s="8"/>
      <c r="P686" s="8"/>
      <c r="Q686" s="8"/>
      <c r="R686" s="8"/>
      <c r="S686" s="8"/>
      <c r="T686" s="82"/>
    </row>
    <row r="687" spans="1:20" ht="13.5" customHeight="1" x14ac:dyDescent="0.25">
      <c r="A687" s="308"/>
      <c r="B687" s="308"/>
      <c r="C687" s="171" t="str">
        <f>IFERROR(VLOOKUP(C686,Списки!$E:$F,2,0)," ")</f>
        <v>LEVASHOVSKOE HWY 20</v>
      </c>
      <c r="D687" s="310"/>
      <c r="E687" s="171" t="str">
        <f>IFERROR(VLOOKUP(E686,Списки!$E:$F,2,0)," ")</f>
        <v>LEVASHOVSKOE HWY 6</v>
      </c>
      <c r="F687" s="312"/>
      <c r="G687" s="314"/>
      <c r="H687" s="315"/>
      <c r="I687" s="8"/>
      <c r="J687" s="8"/>
      <c r="K687" s="8"/>
      <c r="L687" s="8"/>
      <c r="M687" s="8"/>
      <c r="N687" s="8"/>
      <c r="O687" s="8"/>
      <c r="P687" s="8"/>
      <c r="Q687" s="8"/>
      <c r="R687" s="8"/>
      <c r="S687" s="8"/>
      <c r="T687" s="82"/>
    </row>
    <row r="688" spans="1:20" ht="13.5" customHeight="1" x14ac:dyDescent="0.25">
      <c r="A688" s="307">
        <v>3</v>
      </c>
      <c r="B688" s="307"/>
      <c r="C688" s="257" t="s">
        <v>52</v>
      </c>
      <c r="D688" s="309">
        <v>0.4513888888888889</v>
      </c>
      <c r="E688" s="170" t="s">
        <v>44</v>
      </c>
      <c r="F688" s="311">
        <v>0.45833333333333331</v>
      </c>
      <c r="G688" s="313"/>
      <c r="H688" s="315" t="s">
        <v>338</v>
      </c>
      <c r="I688" s="8"/>
      <c r="J688" s="8"/>
      <c r="K688" s="8"/>
      <c r="L688" s="8"/>
      <c r="M688" s="8"/>
      <c r="N688" s="8"/>
      <c r="O688" s="8"/>
      <c r="P688" s="8"/>
      <c r="Q688" s="8"/>
      <c r="R688" s="8"/>
      <c r="S688" s="8"/>
      <c r="T688" s="82"/>
    </row>
    <row r="689" spans="1:20" ht="13.5" customHeight="1" x14ac:dyDescent="0.25">
      <c r="A689" s="308"/>
      <c r="B689" s="308"/>
      <c r="C689" s="171" t="str">
        <f>IFERROR(VLOOKUP(C688,Списки!$E:$F,2,0)," ")</f>
        <v>LEVASHOVSKOE HWY 6</v>
      </c>
      <c r="D689" s="310"/>
      <c r="E689" s="171" t="str">
        <f>IFERROR(VLOOKUP(E688,Списки!$E:$F,2,0)," ")</f>
        <v>LEVASHOVSKOE HWY 20</v>
      </c>
      <c r="F689" s="312"/>
      <c r="G689" s="314"/>
      <c r="H689" s="315"/>
      <c r="I689" s="8"/>
      <c r="J689" s="8"/>
      <c r="K689" s="8"/>
      <c r="L689" s="8"/>
      <c r="M689" s="8"/>
      <c r="N689" s="8"/>
      <c r="O689" s="8"/>
      <c r="P689" s="8"/>
      <c r="Q689" s="8"/>
      <c r="R689" s="8"/>
      <c r="S689" s="8"/>
      <c r="T689" s="82"/>
    </row>
    <row r="690" spans="1:20" ht="13.5" customHeight="1" x14ac:dyDescent="0.25">
      <c r="A690" s="307">
        <v>4</v>
      </c>
      <c r="B690" s="307" t="s">
        <v>83</v>
      </c>
      <c r="C690" s="257" t="s">
        <v>44</v>
      </c>
      <c r="D690" s="309">
        <v>0.47222222222222227</v>
      </c>
      <c r="E690" s="257" t="s">
        <v>74</v>
      </c>
      <c r="F690" s="311">
        <v>0.5</v>
      </c>
      <c r="G690" s="313" t="s">
        <v>185</v>
      </c>
      <c r="H690" s="315">
        <v>25</v>
      </c>
      <c r="I690" s="8"/>
      <c r="J690" s="8"/>
      <c r="K690" s="8"/>
      <c r="L690" s="8"/>
      <c r="M690" s="8"/>
      <c r="N690" s="8"/>
      <c r="O690" s="8"/>
      <c r="P690" s="8"/>
      <c r="Q690" s="8"/>
      <c r="R690" s="8"/>
      <c r="S690" s="8"/>
      <c r="T690" s="82"/>
    </row>
    <row r="691" spans="1:20" ht="13.5" customHeight="1" x14ac:dyDescent="0.25">
      <c r="A691" s="308"/>
      <c r="B691" s="308"/>
      <c r="C691" s="171" t="str">
        <f>IFERROR(VLOOKUP(C690,Списки!$E:$F,2,0)," ")</f>
        <v>LEVASHOVSKOE HWY 20</v>
      </c>
      <c r="D691" s="310"/>
      <c r="E691" s="171" t="str">
        <f>IFERROR(VLOOKUP(E690,Списки!$E:$F,2,0)," ")</f>
        <v>ITALYANSKAYA ST 5</v>
      </c>
      <c r="F691" s="312"/>
      <c r="G691" s="314"/>
      <c r="H691" s="315"/>
      <c r="I691" s="8"/>
      <c r="J691" s="8"/>
      <c r="K691" s="8"/>
      <c r="L691" s="8"/>
      <c r="M691" s="8"/>
      <c r="N691" s="8"/>
      <c r="O691" s="8"/>
      <c r="P691" s="8"/>
      <c r="Q691" s="8"/>
      <c r="R691" s="8"/>
      <c r="S691" s="8"/>
      <c r="T691" s="82"/>
    </row>
    <row r="692" spans="1:20" ht="13.5" customHeight="1" x14ac:dyDescent="0.25">
      <c r="A692" s="307">
        <v>5</v>
      </c>
      <c r="B692" s="307" t="s">
        <v>105</v>
      </c>
      <c r="C692" s="257" t="s">
        <v>74</v>
      </c>
      <c r="D692" s="309">
        <v>0.51388888888888895</v>
      </c>
      <c r="E692" s="257" t="s">
        <v>401</v>
      </c>
      <c r="F692" s="311">
        <v>0.52777777777777779</v>
      </c>
      <c r="G692" s="313" t="s">
        <v>131</v>
      </c>
      <c r="H692" s="315">
        <v>9</v>
      </c>
      <c r="I692" s="8"/>
      <c r="J692" s="8"/>
      <c r="K692" s="8"/>
      <c r="L692" s="8"/>
      <c r="M692" s="8"/>
      <c r="N692" s="8"/>
      <c r="O692" s="8"/>
      <c r="P692" s="8"/>
      <c r="Q692" s="8"/>
      <c r="R692" s="8"/>
      <c r="S692" s="8"/>
      <c r="T692" s="82"/>
    </row>
    <row r="693" spans="1:20" ht="13.5" customHeight="1" x14ac:dyDescent="0.25">
      <c r="A693" s="308"/>
      <c r="B693" s="308"/>
      <c r="C693" s="171" t="str">
        <f>IFERROR(VLOOKUP(C692,Списки!$E:$F,2,0)," ")</f>
        <v>ITALYANSKAYA ST 5</v>
      </c>
      <c r="D693" s="310"/>
      <c r="E693" s="171" t="str">
        <f>IFERROR(VLOOKUP(E692,Списки!$E:$F,2,0)," ")</f>
        <v>BEKHTEREVA ST 3/3A</v>
      </c>
      <c r="F693" s="312"/>
      <c r="G693" s="314"/>
      <c r="H693" s="315"/>
      <c r="I693" s="8"/>
      <c r="J693" s="8"/>
      <c r="K693" s="8"/>
      <c r="L693" s="8"/>
      <c r="M693" s="8"/>
      <c r="N693" s="8"/>
      <c r="O693" s="8"/>
      <c r="P693" s="8"/>
      <c r="Q693" s="8"/>
      <c r="R693" s="8"/>
      <c r="S693" s="8"/>
      <c r="T693" s="82"/>
    </row>
    <row r="694" spans="1:20" ht="13.5" customHeight="1" x14ac:dyDescent="0.25">
      <c r="A694" s="307">
        <v>6</v>
      </c>
      <c r="B694" s="307" t="s">
        <v>107</v>
      </c>
      <c r="C694" s="257" t="s">
        <v>401</v>
      </c>
      <c r="D694" s="309">
        <v>0.54166666666666663</v>
      </c>
      <c r="E694" s="258" t="s">
        <v>273</v>
      </c>
      <c r="F694" s="311">
        <v>0.56944444444444442</v>
      </c>
      <c r="G694" s="313" t="s">
        <v>131</v>
      </c>
      <c r="H694" s="315">
        <v>20</v>
      </c>
      <c r="I694" s="8"/>
      <c r="J694" s="8"/>
      <c r="K694" s="8"/>
      <c r="L694" s="8"/>
      <c r="M694" s="8"/>
      <c r="N694" s="8"/>
      <c r="O694" s="8"/>
      <c r="P694" s="8"/>
      <c r="Q694" s="8"/>
      <c r="R694" s="8"/>
      <c r="S694" s="8"/>
      <c r="T694" s="82"/>
    </row>
    <row r="695" spans="1:20" ht="13.5" customHeight="1" x14ac:dyDescent="0.25">
      <c r="A695" s="308"/>
      <c r="B695" s="308"/>
      <c r="C695" s="171" t="str">
        <f>IFERROR(VLOOKUP(C694,Списки!$E:$F,2,0)," ")</f>
        <v>BEKHTEREVA ST 3/3A</v>
      </c>
      <c r="D695" s="310"/>
      <c r="E695" s="172" t="str">
        <f>IFERROR(VLOOKUP(E694,Списки!$E:$F,2,0)," ")</f>
        <v>OPTIKOV ST 4</v>
      </c>
      <c r="F695" s="312"/>
      <c r="G695" s="314"/>
      <c r="H695" s="315"/>
      <c r="I695" s="8"/>
      <c r="J695" s="8"/>
      <c r="K695" s="8"/>
      <c r="L695" s="8"/>
      <c r="M695" s="8"/>
      <c r="N695" s="8"/>
      <c r="O695" s="8"/>
      <c r="P695" s="8"/>
      <c r="Q695" s="8"/>
      <c r="R695" s="8"/>
      <c r="S695" s="8"/>
      <c r="T695" s="82"/>
    </row>
    <row r="696" spans="1:20" ht="13.5" customHeight="1" x14ac:dyDescent="0.25">
      <c r="A696" s="307">
        <v>7</v>
      </c>
      <c r="B696" s="307" t="s">
        <v>51</v>
      </c>
      <c r="C696" s="258" t="s">
        <v>273</v>
      </c>
      <c r="D696" s="309">
        <v>0.59027777777777779</v>
      </c>
      <c r="E696" s="257" t="s">
        <v>226</v>
      </c>
      <c r="F696" s="311">
        <v>0.61111111111111105</v>
      </c>
      <c r="G696" s="307" t="s">
        <v>184</v>
      </c>
      <c r="H696" s="315">
        <v>28</v>
      </c>
      <c r="I696" s="8"/>
      <c r="J696" s="8"/>
      <c r="K696" s="8"/>
      <c r="L696" s="8"/>
      <c r="M696" s="8"/>
      <c r="N696" s="8"/>
      <c r="O696" s="8"/>
      <c r="P696" s="8"/>
      <c r="Q696" s="8"/>
      <c r="R696" s="8"/>
      <c r="S696" s="8"/>
      <c r="T696" s="82"/>
    </row>
    <row r="697" spans="1:20" ht="13.5" customHeight="1" x14ac:dyDescent="0.25">
      <c r="A697" s="308"/>
      <c r="B697" s="308"/>
      <c r="C697" s="171" t="str">
        <f>IFERROR(VLOOKUP(C696,Списки!$E:$F,2,0)," ")</f>
        <v>OPTIKOV ST 4</v>
      </c>
      <c r="D697" s="310"/>
      <c r="E697" s="179" t="str">
        <f>IFERROR(VLOOKUP(E696,Списки!$E:$F,2,0)," ")</f>
        <v>VOLODARSKOGO ST 3</v>
      </c>
      <c r="F697" s="312"/>
      <c r="G697" s="308"/>
      <c r="H697" s="315"/>
      <c r="I697" s="8"/>
      <c r="J697" s="8"/>
      <c r="K697" s="8"/>
      <c r="L697" s="8"/>
      <c r="M697" s="8"/>
      <c r="N697" s="8"/>
      <c r="O697" s="8"/>
      <c r="P697" s="8"/>
      <c r="Q697" s="8"/>
      <c r="R697" s="8"/>
      <c r="S697" s="8"/>
      <c r="T697" s="82"/>
    </row>
    <row r="698" spans="1:20" ht="13.5" customHeight="1" x14ac:dyDescent="0.25">
      <c r="A698" s="307">
        <v>8</v>
      </c>
      <c r="B698" s="307"/>
      <c r="C698" s="257" t="s">
        <v>226</v>
      </c>
      <c r="D698" s="309">
        <v>0.625</v>
      </c>
      <c r="E698" s="170" t="s">
        <v>44</v>
      </c>
      <c r="F698" s="311">
        <v>0.63888888888888895</v>
      </c>
      <c r="G698" s="307"/>
      <c r="H698" s="315">
        <v>22</v>
      </c>
      <c r="I698" s="8"/>
      <c r="J698" s="8"/>
      <c r="K698" s="8"/>
      <c r="L698" s="8"/>
      <c r="M698" s="8"/>
      <c r="N698" s="8"/>
      <c r="O698" s="8"/>
      <c r="P698" s="8"/>
      <c r="Q698" s="8"/>
      <c r="R698" s="8"/>
      <c r="S698" s="8"/>
      <c r="T698" s="82"/>
    </row>
    <row r="699" spans="1:20" ht="13.5" customHeight="1" x14ac:dyDescent="0.25">
      <c r="A699" s="308"/>
      <c r="B699" s="308"/>
      <c r="C699" s="179" t="str">
        <f>IFERROR(VLOOKUP(C698,Списки!$E:$F,2,0)," ")</f>
        <v>VOLODARSKOGO ST 3</v>
      </c>
      <c r="D699" s="310"/>
      <c r="E699" s="171" t="str">
        <f>IFERROR(VLOOKUP(E698,Списки!$E:$F,2,0)," ")</f>
        <v>LEVASHOVSKOE HWY 20</v>
      </c>
      <c r="F699" s="312"/>
      <c r="G699" s="308"/>
      <c r="H699" s="315"/>
      <c r="I699" s="8"/>
      <c r="J699" s="8"/>
      <c r="K699" s="8"/>
      <c r="L699" s="8"/>
      <c r="M699" s="8"/>
      <c r="N699" s="8"/>
      <c r="O699" s="8"/>
      <c r="P699" s="8"/>
      <c r="Q699" s="8"/>
      <c r="R699" s="8"/>
      <c r="S699" s="8"/>
      <c r="T699" s="82"/>
    </row>
    <row r="700" spans="1:20" ht="13.5" customHeight="1" x14ac:dyDescent="0.25">
      <c r="A700" s="307">
        <v>9</v>
      </c>
      <c r="B700" s="307" t="s">
        <v>135</v>
      </c>
      <c r="C700" s="170" t="s">
        <v>44</v>
      </c>
      <c r="D700" s="309">
        <v>0.65277777777777779</v>
      </c>
      <c r="E700" s="257" t="s">
        <v>397</v>
      </c>
      <c r="F700" s="311">
        <v>0.68055555555555547</v>
      </c>
      <c r="G700" s="307" t="s">
        <v>185</v>
      </c>
      <c r="H700" s="315">
        <v>23</v>
      </c>
      <c r="I700" s="8"/>
      <c r="J700" s="8"/>
      <c r="K700" s="8"/>
      <c r="L700" s="8"/>
      <c r="M700" s="8"/>
      <c r="N700" s="8"/>
      <c r="O700" s="8"/>
      <c r="P700" s="8"/>
      <c r="Q700" s="8"/>
      <c r="R700" s="8"/>
      <c r="S700" s="8"/>
      <c r="T700" s="82"/>
    </row>
    <row r="701" spans="1:20" ht="13.5" customHeight="1" x14ac:dyDescent="0.25">
      <c r="A701" s="308"/>
      <c r="B701" s="308"/>
      <c r="C701" s="179" t="str">
        <f>IFERROR(VLOOKUP(C700,Списки!$E:$F,2,0)," ")</f>
        <v>LEVASHOVSKOE HWY 20</v>
      </c>
      <c r="D701" s="310"/>
      <c r="E701" s="171" t="s">
        <v>398</v>
      </c>
      <c r="F701" s="312"/>
      <c r="G701" s="308"/>
      <c r="H701" s="315"/>
      <c r="I701" s="8"/>
      <c r="J701" s="8"/>
      <c r="K701" s="8"/>
      <c r="L701" s="8"/>
      <c r="M701" s="8"/>
      <c r="N701" s="8"/>
      <c r="O701" s="8"/>
      <c r="P701" s="8"/>
      <c r="Q701" s="8"/>
      <c r="R701" s="8"/>
      <c r="S701" s="8"/>
      <c r="T701" s="82"/>
    </row>
    <row r="702" spans="1:20" ht="13.5" customHeight="1" x14ac:dyDescent="0.25">
      <c r="A702" s="307">
        <v>10</v>
      </c>
      <c r="B702" s="307"/>
      <c r="C702" s="257" t="s">
        <v>397</v>
      </c>
      <c r="D702" s="309">
        <v>0.69444444444444453</v>
      </c>
      <c r="E702" s="257" t="s">
        <v>45</v>
      </c>
      <c r="F702" s="311"/>
      <c r="G702" s="307"/>
      <c r="H702" s="315">
        <v>13</v>
      </c>
      <c r="I702" s="8"/>
      <c r="J702" s="8"/>
      <c r="K702" s="8"/>
      <c r="L702" s="8"/>
      <c r="M702" s="8"/>
      <c r="N702" s="8"/>
      <c r="O702" s="8"/>
      <c r="P702" s="8"/>
      <c r="Q702" s="8"/>
      <c r="R702" s="8"/>
      <c r="S702" s="8"/>
      <c r="T702" s="82"/>
    </row>
    <row r="703" spans="1:20" ht="13.5" customHeight="1" x14ac:dyDescent="0.25">
      <c r="A703" s="308"/>
      <c r="B703" s="308"/>
      <c r="C703" s="171" t="s">
        <v>398</v>
      </c>
      <c r="D703" s="310"/>
      <c r="E703" s="171" t="str">
        <f>IFERROR(VLOOKUP(E702,Списки!$E:$F,2,0)," ")</f>
        <v>SAVUSHKINA ST 128</v>
      </c>
      <c r="F703" s="312"/>
      <c r="G703" s="308"/>
      <c r="H703" s="315"/>
      <c r="I703" s="8"/>
      <c r="J703" s="8"/>
      <c r="K703" s="8"/>
      <c r="L703" s="8"/>
      <c r="M703" s="8"/>
      <c r="N703" s="8"/>
      <c r="O703" s="8"/>
      <c r="P703" s="8"/>
      <c r="Q703" s="8"/>
      <c r="R703" s="8"/>
      <c r="S703" s="8"/>
      <c r="T703" s="82"/>
    </row>
    <row r="704" spans="1:20" ht="13.5" customHeight="1" x14ac:dyDescent="0.25">
      <c r="A704" s="307">
        <v>11</v>
      </c>
      <c r="B704" s="307"/>
      <c r="C704" s="170"/>
      <c r="D704" s="309"/>
      <c r="E704" s="170"/>
      <c r="F704" s="311"/>
      <c r="G704" s="313"/>
      <c r="H704" s="315"/>
      <c r="I704" s="8"/>
      <c r="J704" s="8"/>
      <c r="K704" s="8"/>
      <c r="L704" s="8"/>
      <c r="M704" s="8"/>
      <c r="N704" s="8"/>
      <c r="O704" s="8"/>
      <c r="P704" s="8"/>
      <c r="Q704" s="8"/>
      <c r="R704" s="8"/>
      <c r="S704" s="8"/>
      <c r="T704" s="82"/>
    </row>
    <row r="705" spans="1:20" ht="13.5" customHeight="1" x14ac:dyDescent="0.25">
      <c r="A705" s="308"/>
      <c r="B705" s="308"/>
      <c r="C705" s="171" t="str">
        <f>IFERROR(VLOOKUP(C704,Списки!$E:$F,2,0)," ")</f>
        <v xml:space="preserve"> </v>
      </c>
      <c r="D705" s="310"/>
      <c r="E705" s="171" t="str">
        <f>IFERROR(VLOOKUP(E704,Списки!$E:$F,2,0)," ")</f>
        <v xml:space="preserve"> </v>
      </c>
      <c r="F705" s="312"/>
      <c r="G705" s="314"/>
      <c r="H705" s="315"/>
      <c r="I705" s="8"/>
      <c r="J705" s="8"/>
      <c r="K705" s="8"/>
      <c r="L705" s="8"/>
      <c r="M705" s="8"/>
      <c r="N705" s="8"/>
      <c r="O705" s="8"/>
      <c r="P705" s="8"/>
      <c r="Q705" s="8"/>
      <c r="R705" s="8"/>
      <c r="S705" s="8"/>
      <c r="T705" s="82"/>
    </row>
    <row r="706" spans="1:20" ht="13.5" customHeight="1" x14ac:dyDescent="0.25">
      <c r="A706" s="307">
        <v>12</v>
      </c>
      <c r="B706" s="307"/>
      <c r="C706" s="170"/>
      <c r="D706" s="309"/>
      <c r="E706" s="170"/>
      <c r="F706" s="311"/>
      <c r="G706" s="313"/>
      <c r="H706" s="315"/>
      <c r="I706" s="8"/>
      <c r="J706" s="8"/>
      <c r="K706" s="8"/>
      <c r="L706" s="8"/>
      <c r="M706" s="8"/>
      <c r="N706" s="8"/>
      <c r="O706" s="8"/>
      <c r="P706" s="8"/>
      <c r="Q706" s="8"/>
      <c r="R706" s="8"/>
      <c r="S706" s="8"/>
      <c r="T706" s="82"/>
    </row>
    <row r="707" spans="1:20" ht="13.5" customHeight="1" x14ac:dyDescent="0.25">
      <c r="A707" s="308"/>
      <c r="B707" s="308"/>
      <c r="C707" s="171" t="str">
        <f>IFERROR(VLOOKUP(C706,Списки!$E:$F,2,0)," ")</f>
        <v xml:space="preserve"> </v>
      </c>
      <c r="D707" s="310"/>
      <c r="E707" s="171" t="str">
        <f>IFERROR(VLOOKUP(E706,Списки!$E:$F,2,0)," ")</f>
        <v xml:space="preserve"> </v>
      </c>
      <c r="F707" s="312"/>
      <c r="G707" s="314"/>
      <c r="H707" s="315"/>
      <c r="I707" s="8"/>
      <c r="J707" s="8"/>
      <c r="K707" s="8"/>
      <c r="L707" s="8"/>
      <c r="M707" s="8"/>
      <c r="N707" s="8"/>
      <c r="O707" s="8"/>
      <c r="P707" s="8"/>
      <c r="Q707" s="8"/>
      <c r="R707" s="8"/>
      <c r="S707" s="8"/>
      <c r="T707" s="82"/>
    </row>
    <row r="708" spans="1:20" ht="13.5" customHeight="1" x14ac:dyDescent="0.25">
      <c r="A708" s="307">
        <v>13</v>
      </c>
      <c r="B708" s="307"/>
      <c r="C708" s="170"/>
      <c r="D708" s="309"/>
      <c r="E708" s="170"/>
      <c r="F708" s="311"/>
      <c r="G708" s="313"/>
      <c r="H708" s="315"/>
      <c r="I708" s="8"/>
      <c r="J708" s="8"/>
      <c r="K708" s="8"/>
      <c r="L708" s="8"/>
      <c r="M708" s="8"/>
      <c r="N708" s="8"/>
      <c r="O708" s="8"/>
      <c r="P708" s="8"/>
      <c r="Q708" s="8"/>
      <c r="R708" s="8"/>
      <c r="S708" s="8"/>
      <c r="T708" s="82"/>
    </row>
    <row r="709" spans="1:20" ht="13.5" customHeight="1" x14ac:dyDescent="0.25">
      <c r="A709" s="308"/>
      <c r="B709" s="308"/>
      <c r="C709" s="171" t="str">
        <f>IFERROR(VLOOKUP(C708,Списки!$E:$F,2,0)," ")</f>
        <v xml:space="preserve"> </v>
      </c>
      <c r="D709" s="310"/>
      <c r="E709" s="171" t="str">
        <f>IFERROR(VLOOKUP(E708,Списки!$E:$F,2,0)," ")</f>
        <v xml:space="preserve"> </v>
      </c>
      <c r="F709" s="312"/>
      <c r="G709" s="314"/>
      <c r="H709" s="315"/>
      <c r="I709" s="8"/>
      <c r="J709" s="8"/>
      <c r="K709" s="8"/>
      <c r="L709" s="8"/>
      <c r="M709" s="8"/>
      <c r="N709" s="8"/>
      <c r="O709" s="8"/>
      <c r="P709" s="8"/>
      <c r="Q709" s="8"/>
      <c r="R709" s="8"/>
      <c r="S709" s="8"/>
      <c r="T709" s="82"/>
    </row>
    <row r="710" spans="1:20" ht="13.5" customHeight="1" x14ac:dyDescent="0.25">
      <c r="A710" s="307">
        <v>14</v>
      </c>
      <c r="B710" s="307"/>
      <c r="C710" s="170"/>
      <c r="D710" s="309"/>
      <c r="E710" s="170"/>
      <c r="F710" s="311"/>
      <c r="G710" s="313"/>
      <c r="H710" s="315"/>
      <c r="I710" s="8"/>
      <c r="J710" s="8"/>
      <c r="K710" s="8"/>
      <c r="L710" s="8"/>
      <c r="M710" s="8"/>
      <c r="N710" s="8"/>
      <c r="O710" s="8"/>
      <c r="P710" s="8"/>
      <c r="Q710" s="8"/>
      <c r="R710" s="8"/>
      <c r="S710" s="8"/>
      <c r="T710" s="82"/>
    </row>
    <row r="711" spans="1:20" ht="13.5" customHeight="1" x14ac:dyDescent="0.25">
      <c r="A711" s="308"/>
      <c r="B711" s="308"/>
      <c r="C711" s="171" t="str">
        <f>IFERROR(VLOOKUP(C710,Списки!$E:$F,2,0)," ")</f>
        <v xml:space="preserve"> </v>
      </c>
      <c r="D711" s="310"/>
      <c r="E711" s="171" t="str">
        <f>IFERROR(VLOOKUP(E710,Списки!$E:$F,2,0)," ")</f>
        <v xml:space="preserve"> </v>
      </c>
      <c r="F711" s="312"/>
      <c r="G711" s="314"/>
      <c r="H711" s="315"/>
      <c r="I711" s="8"/>
      <c r="J711" s="8"/>
      <c r="K711" s="8"/>
      <c r="L711" s="8"/>
      <c r="M711" s="8"/>
      <c r="N711" s="8"/>
      <c r="O711" s="8"/>
      <c r="P711" s="8"/>
      <c r="Q711" s="8"/>
      <c r="R711" s="8"/>
      <c r="S711" s="8"/>
      <c r="T711" s="82"/>
    </row>
    <row r="712" spans="1:20" ht="13.5" customHeight="1" x14ac:dyDescent="0.25">
      <c r="A712" s="307">
        <v>15</v>
      </c>
      <c r="B712" s="307"/>
      <c r="C712" s="170"/>
      <c r="D712" s="309"/>
      <c r="E712" s="170"/>
      <c r="F712" s="311"/>
      <c r="G712" s="313"/>
      <c r="H712" s="315"/>
      <c r="I712" s="8"/>
      <c r="J712" s="8"/>
      <c r="K712" s="8"/>
      <c r="L712" s="8"/>
      <c r="M712" s="8"/>
      <c r="N712" s="8"/>
      <c r="O712" s="8"/>
      <c r="P712" s="8"/>
      <c r="Q712" s="8"/>
      <c r="R712" s="8"/>
      <c r="S712" s="8"/>
      <c r="T712" s="82"/>
    </row>
    <row r="713" spans="1:20" ht="13.5" customHeight="1" x14ac:dyDescent="0.25">
      <c r="A713" s="308"/>
      <c r="B713" s="308"/>
      <c r="C713" s="171" t="str">
        <f>IFERROR(VLOOKUP(C712,Списки!$E:$F,2,0)," ")</f>
        <v xml:space="preserve"> </v>
      </c>
      <c r="D713" s="310"/>
      <c r="E713" s="171" t="str">
        <f>IFERROR(VLOOKUP(E712,Списки!$E:$F,2,0)," ")</f>
        <v xml:space="preserve"> </v>
      </c>
      <c r="F713" s="312"/>
      <c r="G713" s="314"/>
      <c r="H713" s="315"/>
      <c r="I713" s="8"/>
      <c r="J713" s="8"/>
      <c r="K713" s="8"/>
      <c r="L713" s="8"/>
      <c r="M713" s="8"/>
      <c r="N713" s="8"/>
      <c r="O713" s="8"/>
      <c r="P713" s="8"/>
      <c r="Q713" s="8"/>
      <c r="R713" s="8"/>
      <c r="S713" s="8"/>
      <c r="T713" s="82"/>
    </row>
    <row r="714" spans="1:20" x14ac:dyDescent="0.25">
      <c r="A714" s="36"/>
      <c r="B714" s="37"/>
      <c r="C714" s="173"/>
      <c r="D714" s="173"/>
      <c r="E714" s="174" t="s">
        <v>30</v>
      </c>
      <c r="F714" s="39">
        <f>IFERROR(SUM(IFERROR(IF((LOOKUP(9E+307,F684:F713))&gt;$M$39,(LOOKUP(9E+307,F684:F713))-$M$39,IF((LOOKUP(9E+307,F684:F713))&lt;0.166666667,0+(LOOKUP(9E+307,F684:F713))+1-$M$39,0)),0),(IF(AND(IF(D684,$M$38-D684,0)&gt;0,F684,F684&gt;D684),$M$38-D684,IF(AND(D684,F684,D684&gt;F684),"error",0)))),"ОШИБКА")</f>
        <v>0</v>
      </c>
      <c r="G714" s="40" t="s">
        <v>27</v>
      </c>
      <c r="H714" s="206">
        <f>SUM(H684:H713)</f>
        <v>157</v>
      </c>
      <c r="I714" s="8"/>
      <c r="J714" s="8"/>
      <c r="K714" s="8"/>
      <c r="L714" s="8"/>
      <c r="M714" s="8"/>
      <c r="N714" s="8"/>
      <c r="O714" s="8"/>
      <c r="P714" s="8"/>
      <c r="Q714" s="8"/>
      <c r="R714" s="8"/>
      <c r="S714" s="8"/>
      <c r="T714" s="82"/>
    </row>
    <row r="715" spans="1:20" ht="15.75" x14ac:dyDescent="0.25">
      <c r="A715" s="316">
        <f>DATE(K1,J1,22)</f>
        <v>43852</v>
      </c>
      <c r="B715" s="316"/>
      <c r="C715" s="316"/>
      <c r="D715" s="316"/>
      <c r="E715" s="316"/>
      <c r="F715" s="316"/>
      <c r="G715" s="316"/>
      <c r="H715" s="317"/>
      <c r="I715" s="8"/>
      <c r="J715" s="8"/>
      <c r="K715" s="8"/>
      <c r="L715" s="8"/>
      <c r="M715" s="8"/>
      <c r="N715" s="8"/>
      <c r="O715" s="8"/>
      <c r="P715" s="8"/>
      <c r="Q715" s="8"/>
      <c r="R715" s="8"/>
      <c r="S715" s="8"/>
      <c r="T715" s="82"/>
    </row>
    <row r="716" spans="1:20" ht="13.5" customHeight="1" x14ac:dyDescent="0.25">
      <c r="A716" s="318"/>
      <c r="B716" s="320" t="s">
        <v>34</v>
      </c>
      <c r="C716" s="205" t="s">
        <v>39</v>
      </c>
      <c r="D716" s="322" t="s">
        <v>36</v>
      </c>
      <c r="E716" s="205" t="s">
        <v>37</v>
      </c>
      <c r="F716" s="320" t="s">
        <v>36</v>
      </c>
      <c r="G716" s="324" t="s">
        <v>35</v>
      </c>
      <c r="H716" s="315" t="s">
        <v>40</v>
      </c>
      <c r="I716" s="8"/>
      <c r="J716" s="8"/>
      <c r="K716" s="8"/>
      <c r="L716" s="8"/>
      <c r="M716" s="8"/>
      <c r="N716" s="8"/>
      <c r="O716" s="8"/>
      <c r="P716" s="8"/>
      <c r="Q716" s="8"/>
      <c r="R716" s="8"/>
      <c r="S716" s="8"/>
      <c r="T716" s="82"/>
    </row>
    <row r="717" spans="1:20" ht="13.5" customHeight="1" x14ac:dyDescent="0.25">
      <c r="A717" s="319"/>
      <c r="B717" s="321"/>
      <c r="C717" s="204" t="s">
        <v>38</v>
      </c>
      <c r="D717" s="323"/>
      <c r="E717" s="204" t="s">
        <v>38</v>
      </c>
      <c r="F717" s="321"/>
      <c r="G717" s="325"/>
      <c r="H717" s="315"/>
      <c r="I717" s="8"/>
      <c r="J717" s="8"/>
      <c r="K717" s="8"/>
      <c r="L717" s="8"/>
      <c r="M717" s="8"/>
      <c r="N717" s="8"/>
      <c r="O717" s="8"/>
      <c r="P717" s="8"/>
      <c r="Q717" s="8"/>
      <c r="R717" s="8"/>
      <c r="S717" s="8"/>
      <c r="T717" s="82"/>
    </row>
    <row r="718" spans="1:20" ht="13.5" customHeight="1" x14ac:dyDescent="0.25">
      <c r="A718" s="307">
        <v>1</v>
      </c>
      <c r="B718" s="307"/>
      <c r="C718" s="170" t="s">
        <v>43</v>
      </c>
      <c r="D718" s="309"/>
      <c r="E718" s="170" t="s">
        <v>44</v>
      </c>
      <c r="F718" s="311">
        <v>0.39583333333333331</v>
      </c>
      <c r="G718" s="313"/>
      <c r="H718" s="315">
        <v>17</v>
      </c>
      <c r="I718" s="8"/>
      <c r="J718" s="8"/>
      <c r="K718" s="8"/>
      <c r="L718" s="8"/>
      <c r="M718" s="8"/>
      <c r="N718" s="8"/>
      <c r="O718" s="8"/>
      <c r="P718" s="8"/>
      <c r="Q718" s="8"/>
      <c r="R718" s="8"/>
      <c r="S718" s="8"/>
      <c r="T718" s="82"/>
    </row>
    <row r="719" spans="1:20" ht="13.5" customHeight="1" x14ac:dyDescent="0.25">
      <c r="A719" s="308"/>
      <c r="B719" s="308"/>
      <c r="C719" s="171" t="str">
        <f>IFERROR(VLOOKUP(C718,Списки!$E:$F,2,0)," ")</f>
        <v>SAVUSHKINA ST 128</v>
      </c>
      <c r="D719" s="310"/>
      <c r="E719" s="171" t="str">
        <f>IFERROR(VLOOKUP(E718,Списки!$E:$F,2,0)," ")</f>
        <v>LEVASHOVSKOE HWY 20</v>
      </c>
      <c r="F719" s="312"/>
      <c r="G719" s="314"/>
      <c r="H719" s="315"/>
      <c r="I719" s="8"/>
      <c r="J719" s="8"/>
      <c r="K719" s="8"/>
      <c r="L719" s="8"/>
      <c r="M719" s="8"/>
      <c r="N719" s="8"/>
      <c r="O719" s="8"/>
      <c r="P719" s="8"/>
      <c r="Q719" s="8"/>
      <c r="R719" s="8"/>
      <c r="S719" s="8"/>
      <c r="T719" s="82"/>
    </row>
    <row r="720" spans="1:20" ht="13.5" customHeight="1" x14ac:dyDescent="0.25">
      <c r="A720" s="307">
        <v>2</v>
      </c>
      <c r="B720" s="307"/>
      <c r="C720" s="170" t="s">
        <v>44</v>
      </c>
      <c r="D720" s="309">
        <v>0.41666666666666669</v>
      </c>
      <c r="E720" s="257" t="s">
        <v>52</v>
      </c>
      <c r="F720" s="311">
        <v>0.4236111111111111</v>
      </c>
      <c r="G720" s="313" t="s">
        <v>84</v>
      </c>
      <c r="H720" s="315">
        <v>8</v>
      </c>
      <c r="I720" s="8"/>
      <c r="J720" s="8"/>
      <c r="K720" s="8"/>
      <c r="L720" s="8"/>
      <c r="M720" s="8"/>
      <c r="N720" s="8"/>
      <c r="O720" s="8"/>
      <c r="P720" s="8"/>
      <c r="Q720" s="8"/>
      <c r="R720" s="8"/>
      <c r="S720" s="8"/>
      <c r="T720" s="82"/>
    </row>
    <row r="721" spans="1:20" ht="13.5" customHeight="1" x14ac:dyDescent="0.25">
      <c r="A721" s="308"/>
      <c r="B721" s="308"/>
      <c r="C721" s="171" t="str">
        <f>IFERROR(VLOOKUP(C720,Списки!$E:$F,2,0)," ")</f>
        <v>LEVASHOVSKOE HWY 20</v>
      </c>
      <c r="D721" s="310"/>
      <c r="E721" s="171" t="str">
        <f>IFERROR(VLOOKUP(E720,Списки!$E:$F,2,0)," ")</f>
        <v>LEVASHOVSKOE HWY 6</v>
      </c>
      <c r="F721" s="312"/>
      <c r="G721" s="314"/>
      <c r="H721" s="315"/>
      <c r="I721" s="8"/>
      <c r="J721" s="8"/>
      <c r="K721" s="8"/>
      <c r="L721" s="8"/>
      <c r="M721" s="8"/>
      <c r="N721" s="8"/>
      <c r="O721" s="8"/>
      <c r="P721" s="8"/>
      <c r="Q721" s="8"/>
      <c r="R721" s="8"/>
      <c r="S721" s="8"/>
      <c r="T721" s="82"/>
    </row>
    <row r="722" spans="1:20" ht="13.5" customHeight="1" x14ac:dyDescent="0.25">
      <c r="A722" s="307">
        <v>3</v>
      </c>
      <c r="B722" s="307" t="s">
        <v>83</v>
      </c>
      <c r="C722" s="257" t="s">
        <v>52</v>
      </c>
      <c r="D722" s="309">
        <v>0.45833333333333331</v>
      </c>
      <c r="E722" s="257" t="s">
        <v>74</v>
      </c>
      <c r="F722" s="311">
        <v>0.4861111111111111</v>
      </c>
      <c r="G722" s="313" t="s">
        <v>185</v>
      </c>
      <c r="H722" s="315">
        <v>32</v>
      </c>
      <c r="I722" s="8"/>
      <c r="J722" s="8"/>
      <c r="K722" s="8"/>
      <c r="L722" s="8"/>
      <c r="M722" s="8"/>
      <c r="N722" s="8"/>
      <c r="O722" s="8"/>
      <c r="P722" s="8"/>
      <c r="Q722" s="8"/>
      <c r="R722" s="8"/>
      <c r="S722" s="8"/>
      <c r="T722" s="82"/>
    </row>
    <row r="723" spans="1:20" ht="13.5" customHeight="1" x14ac:dyDescent="0.25">
      <c r="A723" s="308"/>
      <c r="B723" s="308"/>
      <c r="C723" s="171" t="str">
        <f>IFERROR(VLOOKUP(C722,Списки!$E:$F,2,0)," ")</f>
        <v>LEVASHOVSKOE HWY 6</v>
      </c>
      <c r="D723" s="310"/>
      <c r="E723" s="171" t="str">
        <f>IFERROR(VLOOKUP(E722,Списки!$E:$F,2,0)," ")</f>
        <v>ITALYANSKAYA ST 5</v>
      </c>
      <c r="F723" s="312"/>
      <c r="G723" s="314"/>
      <c r="H723" s="315"/>
      <c r="I723" s="8"/>
      <c r="J723" s="8"/>
      <c r="K723" s="8"/>
      <c r="L723" s="8"/>
      <c r="M723" s="8"/>
      <c r="N723" s="8"/>
      <c r="O723" s="8"/>
      <c r="P723" s="8"/>
      <c r="Q723" s="8"/>
      <c r="R723" s="8"/>
      <c r="S723" s="8"/>
      <c r="T723" s="82"/>
    </row>
    <row r="724" spans="1:20" ht="13.5" customHeight="1" x14ac:dyDescent="0.25">
      <c r="A724" s="307">
        <v>4</v>
      </c>
      <c r="B724" s="307" t="s">
        <v>105</v>
      </c>
      <c r="C724" s="257" t="s">
        <v>74</v>
      </c>
      <c r="D724" s="309">
        <v>0.5</v>
      </c>
      <c r="E724" s="258" t="s">
        <v>230</v>
      </c>
      <c r="F724" s="311">
        <v>0.52083333333333337</v>
      </c>
      <c r="G724" s="313" t="s">
        <v>131</v>
      </c>
      <c r="H724" s="315">
        <v>7</v>
      </c>
      <c r="I724" s="8"/>
      <c r="J724" s="8"/>
      <c r="K724" s="8"/>
      <c r="L724" s="8"/>
      <c r="M724" s="8"/>
      <c r="N724" s="8"/>
      <c r="O724" s="8"/>
      <c r="P724" s="8"/>
      <c r="Q724" s="8"/>
      <c r="R724" s="8"/>
      <c r="S724" s="8"/>
      <c r="T724" s="82"/>
    </row>
    <row r="725" spans="1:20" ht="13.5" customHeight="1" x14ac:dyDescent="0.25">
      <c r="A725" s="308"/>
      <c r="B725" s="308"/>
      <c r="C725" s="171" t="str">
        <f>IFERROR(VLOOKUP(C724,Списки!$E:$F,2,0)," ")</f>
        <v>ITALYANSKAYA ST 5</v>
      </c>
      <c r="D725" s="310"/>
      <c r="E725" s="172" t="str">
        <f>IFERROR(VLOOKUP(E724,Списки!$E:$F,2,0)," ")</f>
        <v>LIGOVSKIY AVE 256/3E</v>
      </c>
      <c r="F725" s="312"/>
      <c r="G725" s="314"/>
      <c r="H725" s="315"/>
      <c r="I725" s="8"/>
      <c r="J725" s="8"/>
      <c r="K725" s="8"/>
      <c r="L725" s="8"/>
      <c r="M725" s="8"/>
      <c r="N725" s="8"/>
      <c r="O725" s="8"/>
      <c r="P725" s="8"/>
      <c r="Q725" s="8"/>
      <c r="R725" s="8"/>
      <c r="S725" s="8"/>
      <c r="T725" s="82"/>
    </row>
    <row r="726" spans="1:20" ht="13.5" customHeight="1" x14ac:dyDescent="0.25">
      <c r="A726" s="307">
        <v>5</v>
      </c>
      <c r="B726" s="307"/>
      <c r="C726" s="258" t="s">
        <v>230</v>
      </c>
      <c r="D726" s="309">
        <v>0.54166666666666663</v>
      </c>
      <c r="E726" s="170" t="s">
        <v>44</v>
      </c>
      <c r="F726" s="311">
        <v>0.56944444444444442</v>
      </c>
      <c r="G726" s="313"/>
      <c r="H726" s="315">
        <v>35</v>
      </c>
      <c r="I726" s="8"/>
      <c r="J726" s="8"/>
      <c r="K726" s="8"/>
      <c r="L726" s="8"/>
      <c r="M726" s="8"/>
      <c r="N726" s="8"/>
      <c r="O726" s="8"/>
      <c r="P726" s="8"/>
      <c r="Q726" s="8"/>
      <c r="R726" s="8"/>
      <c r="S726" s="8"/>
      <c r="T726" s="82"/>
    </row>
    <row r="727" spans="1:20" ht="13.5" customHeight="1" x14ac:dyDescent="0.25">
      <c r="A727" s="308"/>
      <c r="B727" s="308"/>
      <c r="C727" s="171" t="str">
        <f>IFERROR(VLOOKUP(C726,Списки!$E:$F,2,0)," ")</f>
        <v>LIGOVSKIY AVE 256/3E</v>
      </c>
      <c r="D727" s="310"/>
      <c r="E727" s="179" t="str">
        <f>IFERROR(VLOOKUP(E726,Списки!$E:$F,2,0)," ")</f>
        <v>LEVASHOVSKOE HWY 20</v>
      </c>
      <c r="F727" s="312"/>
      <c r="G727" s="314"/>
      <c r="H727" s="315"/>
      <c r="I727" s="8"/>
      <c r="J727" s="8"/>
      <c r="K727" s="8"/>
      <c r="L727" s="8"/>
      <c r="M727" s="8"/>
      <c r="N727" s="8"/>
      <c r="O727" s="8"/>
      <c r="P727" s="8"/>
      <c r="Q727" s="8"/>
      <c r="R727" s="8"/>
      <c r="S727" s="8"/>
      <c r="T727" s="82"/>
    </row>
    <row r="728" spans="1:20" ht="13.5" customHeight="1" x14ac:dyDescent="0.25">
      <c r="A728" s="307">
        <v>6</v>
      </c>
      <c r="B728" s="307" t="s">
        <v>105</v>
      </c>
      <c r="C728" s="170" t="s">
        <v>44</v>
      </c>
      <c r="D728" s="309">
        <v>0.57638888888888895</v>
      </c>
      <c r="E728" s="257" t="s">
        <v>394</v>
      </c>
      <c r="F728" s="311">
        <v>0.60416666666666663</v>
      </c>
      <c r="G728" s="313" t="s">
        <v>185</v>
      </c>
      <c r="H728" s="315">
        <v>41</v>
      </c>
      <c r="I728" s="8"/>
      <c r="J728" s="8"/>
      <c r="K728" s="8"/>
      <c r="L728" s="8"/>
      <c r="M728" s="8"/>
      <c r="N728" s="8"/>
      <c r="O728" s="8"/>
      <c r="P728" s="8"/>
      <c r="Q728" s="8"/>
      <c r="R728" s="8"/>
      <c r="S728" s="8"/>
      <c r="T728" s="82"/>
    </row>
    <row r="729" spans="1:20" ht="13.5" customHeight="1" x14ac:dyDescent="0.25">
      <c r="A729" s="308"/>
      <c r="B729" s="308"/>
      <c r="C729" s="179" t="str">
        <f>IFERROR(VLOOKUP(C728,Списки!$E:$F,2,0)," ")</f>
        <v>LEVASHOVSKOE HWY 20</v>
      </c>
      <c r="D729" s="310"/>
      <c r="E729" s="171" t="str">
        <f>IFERROR(VLOOKUP(E728,Списки!$E:$F,2,0)," ")</f>
        <v>YANINO SHOSS ST 114</v>
      </c>
      <c r="F729" s="312"/>
      <c r="G729" s="314"/>
      <c r="H729" s="315"/>
      <c r="I729" s="8"/>
      <c r="J729" s="8"/>
      <c r="K729" s="8"/>
      <c r="L729" s="8"/>
      <c r="M729" s="8"/>
      <c r="N729" s="8"/>
      <c r="O729" s="8"/>
      <c r="P729" s="8"/>
      <c r="Q729" s="8"/>
      <c r="R729" s="8"/>
      <c r="S729" s="8"/>
      <c r="T729" s="82"/>
    </row>
    <row r="730" spans="1:20" ht="13.5" customHeight="1" x14ac:dyDescent="0.25">
      <c r="A730" s="307">
        <v>7</v>
      </c>
      <c r="B730" s="307"/>
      <c r="C730" s="257" t="s">
        <v>394</v>
      </c>
      <c r="D730" s="309">
        <v>0.625</v>
      </c>
      <c r="E730" s="170" t="s">
        <v>44</v>
      </c>
      <c r="F730" s="311">
        <v>0.65277777777777779</v>
      </c>
      <c r="G730" s="313"/>
      <c r="H730" s="315">
        <v>41</v>
      </c>
      <c r="I730" s="8"/>
      <c r="J730" s="8"/>
      <c r="K730" s="8"/>
      <c r="L730" s="8"/>
      <c r="M730" s="8"/>
      <c r="N730" s="8"/>
      <c r="O730" s="8"/>
      <c r="P730" s="8"/>
      <c r="Q730" s="8"/>
      <c r="R730" s="8"/>
      <c r="S730" s="8"/>
      <c r="T730" s="82"/>
    </row>
    <row r="731" spans="1:20" ht="13.5" customHeight="1" x14ac:dyDescent="0.25">
      <c r="A731" s="308"/>
      <c r="B731" s="308"/>
      <c r="C731" s="261" t="str">
        <f>IFERROR(VLOOKUP(C730,Списки!$E:$F,2,0)," ")</f>
        <v>YANINO SHOSS ST 114</v>
      </c>
      <c r="D731" s="310"/>
      <c r="E731" s="171" t="str">
        <f>IFERROR(VLOOKUP(E730,Списки!$E:$F,2,0)," ")</f>
        <v>LEVASHOVSKOE HWY 20</v>
      </c>
      <c r="F731" s="312"/>
      <c r="G731" s="314"/>
      <c r="H731" s="315"/>
      <c r="I731" s="8"/>
      <c r="J731" s="8"/>
      <c r="K731" s="8"/>
      <c r="L731" s="8"/>
      <c r="M731" s="8"/>
      <c r="N731" s="8"/>
      <c r="O731" s="8"/>
      <c r="P731" s="8"/>
      <c r="Q731" s="8"/>
      <c r="R731" s="8"/>
      <c r="S731" s="8"/>
      <c r="T731" s="82"/>
    </row>
    <row r="732" spans="1:20" ht="13.5" customHeight="1" x14ac:dyDescent="0.25">
      <c r="A732" s="307">
        <v>8</v>
      </c>
      <c r="B732" s="307"/>
      <c r="C732" s="170" t="s">
        <v>44</v>
      </c>
      <c r="D732" s="309">
        <v>0.70833333333333337</v>
      </c>
      <c r="E732" s="257" t="s">
        <v>45</v>
      </c>
      <c r="F732" s="311"/>
      <c r="G732" s="313"/>
      <c r="H732" s="315">
        <v>16</v>
      </c>
      <c r="I732" s="8"/>
      <c r="J732" s="8"/>
      <c r="K732" s="8"/>
      <c r="L732" s="8"/>
      <c r="M732" s="8"/>
      <c r="N732" s="8"/>
      <c r="O732" s="8"/>
      <c r="P732" s="8"/>
      <c r="Q732" s="8"/>
      <c r="R732" s="8"/>
      <c r="S732" s="8"/>
      <c r="T732" s="82"/>
    </row>
    <row r="733" spans="1:20" ht="13.5" customHeight="1" x14ac:dyDescent="0.25">
      <c r="A733" s="308"/>
      <c r="B733" s="308"/>
      <c r="C733" s="171" t="str">
        <f>IFERROR(VLOOKUP(C732,Списки!$E:$F,2,0)," ")</f>
        <v>LEVASHOVSKOE HWY 20</v>
      </c>
      <c r="D733" s="310"/>
      <c r="E733" s="171" t="str">
        <f>IFERROR(VLOOKUP(E732,Списки!$E:$F,2,0)," ")</f>
        <v>SAVUSHKINA ST 128</v>
      </c>
      <c r="F733" s="312"/>
      <c r="G733" s="314"/>
      <c r="H733" s="315"/>
      <c r="I733" s="8"/>
      <c r="J733" s="8"/>
      <c r="K733" s="8"/>
      <c r="L733" s="8"/>
      <c r="M733" s="8"/>
      <c r="N733" s="8"/>
      <c r="O733" s="8"/>
      <c r="P733" s="8"/>
      <c r="Q733" s="8"/>
      <c r="R733" s="8"/>
      <c r="S733" s="8"/>
      <c r="T733" s="82"/>
    </row>
    <row r="734" spans="1:20" ht="13.5" customHeight="1" x14ac:dyDescent="0.25">
      <c r="A734" s="307">
        <v>9</v>
      </c>
      <c r="B734" s="307"/>
      <c r="C734" s="170"/>
      <c r="D734" s="309"/>
      <c r="E734" s="257"/>
      <c r="F734" s="311"/>
      <c r="G734" s="313"/>
      <c r="H734" s="315"/>
      <c r="I734" s="8"/>
      <c r="J734" s="8"/>
      <c r="K734" s="8"/>
      <c r="L734" s="8"/>
      <c r="M734" s="8"/>
      <c r="N734" s="8"/>
      <c r="O734" s="8"/>
      <c r="P734" s="8"/>
      <c r="Q734" s="8"/>
      <c r="R734" s="8"/>
      <c r="S734" s="8"/>
      <c r="T734" s="82"/>
    </row>
    <row r="735" spans="1:20" ht="13.5" customHeight="1" x14ac:dyDescent="0.25">
      <c r="A735" s="308"/>
      <c r="B735" s="308"/>
      <c r="C735" s="171"/>
      <c r="D735" s="310"/>
      <c r="E735" s="171"/>
      <c r="F735" s="312"/>
      <c r="G735" s="314"/>
      <c r="H735" s="315"/>
      <c r="I735" s="8"/>
      <c r="J735" s="8"/>
      <c r="K735" s="8"/>
      <c r="L735" s="8"/>
      <c r="M735" s="8"/>
      <c r="N735" s="8"/>
      <c r="O735" s="8"/>
      <c r="P735" s="8"/>
      <c r="Q735" s="8"/>
      <c r="R735" s="8"/>
      <c r="S735" s="8"/>
      <c r="T735" s="82"/>
    </row>
    <row r="736" spans="1:20" ht="13.5" customHeight="1" x14ac:dyDescent="0.25">
      <c r="A736" s="307">
        <v>10</v>
      </c>
      <c r="B736" s="307"/>
      <c r="C736" s="170"/>
      <c r="D736" s="309"/>
      <c r="E736" s="170"/>
      <c r="F736" s="311"/>
      <c r="G736" s="313"/>
      <c r="H736" s="315"/>
      <c r="I736" s="8"/>
      <c r="J736" s="8"/>
      <c r="K736" s="8"/>
      <c r="L736" s="8"/>
      <c r="M736" s="8"/>
      <c r="N736" s="8"/>
      <c r="O736" s="8"/>
      <c r="P736" s="8"/>
      <c r="Q736" s="8"/>
      <c r="R736" s="8"/>
      <c r="S736" s="8"/>
      <c r="T736" s="82"/>
    </row>
    <row r="737" spans="1:20" ht="13.5" customHeight="1" x14ac:dyDescent="0.25">
      <c r="A737" s="308"/>
      <c r="B737" s="308"/>
      <c r="C737" s="171" t="str">
        <f>IFERROR(VLOOKUP(C736,Списки!$E:$F,2,0)," ")</f>
        <v xml:space="preserve"> </v>
      </c>
      <c r="D737" s="310"/>
      <c r="E737" s="171" t="str">
        <f>IFERROR(VLOOKUP(E736,Списки!$E:$F,2,0)," ")</f>
        <v xml:space="preserve"> </v>
      </c>
      <c r="F737" s="312"/>
      <c r="G737" s="314"/>
      <c r="H737" s="315"/>
      <c r="I737" s="8"/>
      <c r="J737" s="8"/>
      <c r="K737" s="8"/>
      <c r="L737" s="8"/>
      <c r="M737" s="8"/>
      <c r="N737" s="8"/>
      <c r="O737" s="8"/>
      <c r="P737" s="8"/>
      <c r="Q737" s="8"/>
      <c r="R737" s="8"/>
      <c r="S737" s="8"/>
      <c r="T737" s="82"/>
    </row>
    <row r="738" spans="1:20" ht="13.5" customHeight="1" x14ac:dyDescent="0.25">
      <c r="A738" s="307">
        <v>11</v>
      </c>
      <c r="B738" s="307"/>
      <c r="C738" s="170"/>
      <c r="D738" s="309"/>
      <c r="E738" s="170"/>
      <c r="F738" s="311"/>
      <c r="G738" s="313"/>
      <c r="H738" s="315"/>
      <c r="I738" s="8"/>
      <c r="J738" s="8"/>
      <c r="K738" s="8"/>
      <c r="L738" s="8"/>
      <c r="M738" s="8"/>
      <c r="N738" s="8"/>
      <c r="O738" s="8"/>
      <c r="P738" s="8"/>
      <c r="Q738" s="8"/>
      <c r="R738" s="8"/>
      <c r="S738" s="8"/>
      <c r="T738" s="82"/>
    </row>
    <row r="739" spans="1:20" ht="13.5" customHeight="1" x14ac:dyDescent="0.25">
      <c r="A739" s="308"/>
      <c r="B739" s="308"/>
      <c r="C739" s="171" t="str">
        <f>IFERROR(VLOOKUP(C738,Списки!$E:$F,2,0)," ")</f>
        <v xml:space="preserve"> </v>
      </c>
      <c r="D739" s="310"/>
      <c r="E739" s="171" t="str">
        <f>IFERROR(VLOOKUP(E738,Списки!$E:$F,2,0)," ")</f>
        <v xml:space="preserve"> </v>
      </c>
      <c r="F739" s="312"/>
      <c r="G739" s="314"/>
      <c r="H739" s="315"/>
      <c r="I739" s="8"/>
      <c r="J739" s="8"/>
      <c r="K739" s="8"/>
      <c r="L739" s="8"/>
      <c r="M739" s="8"/>
      <c r="N739" s="8"/>
      <c r="O739" s="8"/>
      <c r="P739" s="8"/>
      <c r="Q739" s="8"/>
      <c r="R739" s="8"/>
      <c r="S739" s="8"/>
      <c r="T739" s="82"/>
    </row>
    <row r="740" spans="1:20" ht="13.5" customHeight="1" x14ac:dyDescent="0.25">
      <c r="A740" s="307">
        <v>12</v>
      </c>
      <c r="B740" s="307"/>
      <c r="C740" s="170"/>
      <c r="D740" s="309"/>
      <c r="E740" s="170"/>
      <c r="F740" s="311"/>
      <c r="G740" s="313"/>
      <c r="H740" s="315"/>
      <c r="I740" s="8"/>
      <c r="J740" s="8"/>
      <c r="K740" s="8"/>
      <c r="L740" s="8"/>
      <c r="M740" s="8"/>
      <c r="N740" s="8"/>
      <c r="O740" s="8"/>
      <c r="P740" s="8"/>
      <c r="Q740" s="8"/>
      <c r="R740" s="8"/>
      <c r="S740" s="8"/>
      <c r="T740" s="82"/>
    </row>
    <row r="741" spans="1:20" ht="13.5" customHeight="1" x14ac:dyDescent="0.25">
      <c r="A741" s="308"/>
      <c r="B741" s="308"/>
      <c r="C741" s="171" t="str">
        <f>IFERROR(VLOOKUP(C740,Списки!$E:$F,2,0)," ")</f>
        <v xml:space="preserve"> </v>
      </c>
      <c r="D741" s="310"/>
      <c r="E741" s="171" t="str">
        <f>IFERROR(VLOOKUP(E740,Списки!$E:$F,2,0)," ")</f>
        <v xml:space="preserve"> </v>
      </c>
      <c r="F741" s="312"/>
      <c r="G741" s="314"/>
      <c r="H741" s="315"/>
      <c r="I741" s="8"/>
      <c r="J741" s="8"/>
      <c r="K741" s="8"/>
      <c r="L741" s="8"/>
      <c r="M741" s="8"/>
      <c r="N741" s="8"/>
      <c r="O741" s="8"/>
      <c r="P741" s="8"/>
      <c r="Q741" s="8"/>
      <c r="R741" s="8"/>
      <c r="S741" s="8"/>
      <c r="T741" s="82"/>
    </row>
    <row r="742" spans="1:20" ht="13.5" customHeight="1" x14ac:dyDescent="0.25">
      <c r="A742" s="307">
        <v>13</v>
      </c>
      <c r="B742" s="307"/>
      <c r="C742" s="170"/>
      <c r="D742" s="309"/>
      <c r="E742" s="170"/>
      <c r="F742" s="311"/>
      <c r="G742" s="313"/>
      <c r="H742" s="315"/>
      <c r="I742" s="8"/>
      <c r="J742" s="8"/>
      <c r="K742" s="8"/>
      <c r="L742" s="8"/>
      <c r="M742" s="8"/>
      <c r="N742" s="8"/>
      <c r="O742" s="8"/>
      <c r="P742" s="8"/>
      <c r="Q742" s="8"/>
      <c r="R742" s="8"/>
      <c r="S742" s="8"/>
      <c r="T742" s="82"/>
    </row>
    <row r="743" spans="1:20" ht="13.5" customHeight="1" x14ac:dyDescent="0.25">
      <c r="A743" s="308"/>
      <c r="B743" s="308"/>
      <c r="C743" s="171" t="str">
        <f>IFERROR(VLOOKUP(C742,Списки!$E:$F,2,0)," ")</f>
        <v xml:space="preserve"> </v>
      </c>
      <c r="D743" s="310"/>
      <c r="E743" s="171" t="str">
        <f>IFERROR(VLOOKUP(E742,Списки!$E:$F,2,0)," ")</f>
        <v xml:space="preserve"> </v>
      </c>
      <c r="F743" s="312"/>
      <c r="G743" s="314"/>
      <c r="H743" s="315"/>
      <c r="I743" s="8"/>
      <c r="J743" s="8"/>
      <c r="K743" s="8"/>
      <c r="L743" s="8"/>
      <c r="M743" s="8"/>
      <c r="N743" s="8"/>
      <c r="O743" s="8"/>
      <c r="P743" s="8"/>
      <c r="Q743" s="8"/>
      <c r="R743" s="8"/>
      <c r="S743" s="8"/>
      <c r="T743" s="82"/>
    </row>
    <row r="744" spans="1:20" ht="13.5" customHeight="1" x14ac:dyDescent="0.25">
      <c r="A744" s="307">
        <v>14</v>
      </c>
      <c r="B744" s="307"/>
      <c r="C744" s="170"/>
      <c r="D744" s="309"/>
      <c r="E744" s="170"/>
      <c r="F744" s="311"/>
      <c r="G744" s="313"/>
      <c r="H744" s="315"/>
      <c r="I744" s="8"/>
      <c r="J744" s="8"/>
      <c r="K744" s="8"/>
      <c r="L744" s="8"/>
      <c r="M744" s="8"/>
      <c r="N744" s="8"/>
      <c r="O744" s="8"/>
      <c r="P744" s="8"/>
      <c r="Q744" s="8"/>
      <c r="R744" s="8"/>
      <c r="S744" s="8"/>
      <c r="T744" s="82"/>
    </row>
    <row r="745" spans="1:20" ht="13.5" customHeight="1" x14ac:dyDescent="0.25">
      <c r="A745" s="308"/>
      <c r="B745" s="308"/>
      <c r="C745" s="171" t="str">
        <f>IFERROR(VLOOKUP(C744,Списки!$E:$F,2,0)," ")</f>
        <v xml:space="preserve"> </v>
      </c>
      <c r="D745" s="310"/>
      <c r="E745" s="171" t="str">
        <f>IFERROR(VLOOKUP(E744,Списки!$E:$F,2,0)," ")</f>
        <v xml:space="preserve"> </v>
      </c>
      <c r="F745" s="312"/>
      <c r="G745" s="314"/>
      <c r="H745" s="315"/>
      <c r="I745" s="8"/>
      <c r="J745" s="8"/>
      <c r="K745" s="8"/>
      <c r="L745" s="8"/>
      <c r="M745" s="8"/>
      <c r="N745" s="8"/>
      <c r="O745" s="8"/>
      <c r="P745" s="8"/>
      <c r="Q745" s="8"/>
      <c r="R745" s="8"/>
      <c r="S745" s="8"/>
      <c r="T745" s="82"/>
    </row>
    <row r="746" spans="1:20" ht="13.5" customHeight="1" x14ac:dyDescent="0.25">
      <c r="A746" s="307">
        <v>15</v>
      </c>
      <c r="B746" s="307"/>
      <c r="C746" s="170"/>
      <c r="D746" s="309"/>
      <c r="E746" s="170"/>
      <c r="F746" s="311"/>
      <c r="G746" s="313"/>
      <c r="H746" s="315"/>
      <c r="I746" s="8"/>
      <c r="J746" s="8"/>
      <c r="K746" s="8"/>
      <c r="L746" s="8"/>
      <c r="M746" s="8"/>
      <c r="N746" s="8"/>
      <c r="O746" s="8"/>
      <c r="P746" s="8"/>
      <c r="Q746" s="8"/>
      <c r="R746" s="8"/>
      <c r="S746" s="8"/>
      <c r="T746" s="82"/>
    </row>
    <row r="747" spans="1:20" ht="13.5" customHeight="1" x14ac:dyDescent="0.25">
      <c r="A747" s="308"/>
      <c r="B747" s="308"/>
      <c r="C747" s="171" t="str">
        <f>IFERROR(VLOOKUP(C746,Списки!$E:$F,2,0)," ")</f>
        <v xml:space="preserve"> </v>
      </c>
      <c r="D747" s="310"/>
      <c r="E747" s="171" t="str">
        <f>IFERROR(VLOOKUP(E746,Списки!$E:$F,2,0)," ")</f>
        <v xml:space="preserve"> </v>
      </c>
      <c r="F747" s="312"/>
      <c r="G747" s="314"/>
      <c r="H747" s="315"/>
      <c r="I747" s="8"/>
      <c r="J747" s="8"/>
      <c r="K747" s="8"/>
      <c r="L747" s="8"/>
      <c r="M747" s="8"/>
      <c r="N747" s="8"/>
      <c r="O747" s="8"/>
      <c r="P747" s="8"/>
      <c r="Q747" s="8"/>
      <c r="R747" s="8"/>
      <c r="S747" s="8"/>
      <c r="T747" s="82"/>
    </row>
    <row r="748" spans="1:20" x14ac:dyDescent="0.25">
      <c r="A748" s="36"/>
      <c r="B748" s="37"/>
      <c r="C748" s="173"/>
      <c r="D748" s="173"/>
      <c r="E748" s="174" t="s">
        <v>30</v>
      </c>
      <c r="F748" s="39">
        <f>IFERROR(SUM(IFERROR(IF((LOOKUP(9E+307,F718:F747))&gt;$M$39,(LOOKUP(9E+307,F718:F747))-$M$39,IF((LOOKUP(9E+307,F718:F747))&lt;0.166666667,0+(LOOKUP(9E+307,F718:F747))+1-$M$39,0)),0),(IF(AND(IF(D718,$M$38-D718,0)&gt;0,F718,F718&gt;D718),$M$38-D718,IF(AND(D718,F718,D718&gt;F718),"error",0)))),"ОШИБКА")</f>
        <v>0</v>
      </c>
      <c r="G748" s="40" t="s">
        <v>27</v>
      </c>
      <c r="H748" s="206">
        <f>SUM(H718:H747)</f>
        <v>197</v>
      </c>
      <c r="I748" s="8"/>
      <c r="J748" s="8"/>
      <c r="K748" s="8"/>
      <c r="L748" s="8"/>
      <c r="M748" s="8"/>
      <c r="N748" s="8"/>
      <c r="O748" s="8"/>
      <c r="P748" s="8"/>
      <c r="Q748" s="8"/>
      <c r="R748" s="8"/>
      <c r="S748" s="8"/>
      <c r="T748" s="82"/>
    </row>
    <row r="749" spans="1:20" ht="15.75" x14ac:dyDescent="0.25">
      <c r="A749" s="316">
        <f>DATE(K1,J1,23)</f>
        <v>43853</v>
      </c>
      <c r="B749" s="316"/>
      <c r="C749" s="316"/>
      <c r="D749" s="316"/>
      <c r="E749" s="316"/>
      <c r="F749" s="316"/>
      <c r="G749" s="316"/>
      <c r="H749" s="316"/>
      <c r="I749" s="8"/>
      <c r="J749" s="8"/>
      <c r="K749" s="8"/>
      <c r="L749" s="8"/>
      <c r="M749" s="8"/>
      <c r="N749" s="8"/>
      <c r="O749" s="8"/>
      <c r="P749" s="8"/>
      <c r="Q749" s="8"/>
      <c r="R749" s="8"/>
      <c r="S749" s="8"/>
      <c r="T749" s="82"/>
    </row>
    <row r="750" spans="1:20" ht="13.5" customHeight="1" x14ac:dyDescent="0.25">
      <c r="A750" s="318"/>
      <c r="B750" s="320" t="s">
        <v>34</v>
      </c>
      <c r="C750" s="205" t="s">
        <v>39</v>
      </c>
      <c r="D750" s="322" t="s">
        <v>36</v>
      </c>
      <c r="E750" s="205" t="s">
        <v>37</v>
      </c>
      <c r="F750" s="320" t="s">
        <v>36</v>
      </c>
      <c r="G750" s="324" t="s">
        <v>35</v>
      </c>
      <c r="H750" s="315" t="s">
        <v>40</v>
      </c>
      <c r="I750" s="8"/>
      <c r="J750" s="8"/>
      <c r="K750" s="8"/>
      <c r="L750" s="8"/>
      <c r="M750" s="8"/>
      <c r="N750" s="8"/>
      <c r="O750" s="8"/>
      <c r="P750" s="8"/>
      <c r="Q750" s="8"/>
      <c r="R750" s="8"/>
      <c r="S750" s="8"/>
      <c r="T750" s="82"/>
    </row>
    <row r="751" spans="1:20" ht="13.5" customHeight="1" x14ac:dyDescent="0.25">
      <c r="A751" s="319"/>
      <c r="B751" s="321"/>
      <c r="C751" s="204" t="s">
        <v>38</v>
      </c>
      <c r="D751" s="323"/>
      <c r="E751" s="204" t="s">
        <v>38</v>
      </c>
      <c r="F751" s="321"/>
      <c r="G751" s="325"/>
      <c r="H751" s="315"/>
      <c r="I751" s="8"/>
      <c r="J751" s="8"/>
      <c r="K751" s="8"/>
      <c r="L751" s="8"/>
      <c r="M751" s="8"/>
      <c r="N751" s="8"/>
      <c r="O751" s="8"/>
      <c r="P751" s="8"/>
      <c r="Q751" s="8"/>
      <c r="R751" s="8"/>
      <c r="S751" s="8"/>
      <c r="T751" s="82"/>
    </row>
    <row r="752" spans="1:20" ht="13.5" customHeight="1" x14ac:dyDescent="0.25">
      <c r="A752" s="307">
        <v>1</v>
      </c>
      <c r="B752" s="307"/>
      <c r="C752" s="170" t="s">
        <v>43</v>
      </c>
      <c r="D752" s="309"/>
      <c r="E752" s="170" t="s">
        <v>44</v>
      </c>
      <c r="F752" s="311">
        <v>0.375</v>
      </c>
      <c r="G752" s="313"/>
      <c r="H752" s="315">
        <v>17</v>
      </c>
      <c r="I752" s="8"/>
      <c r="J752" s="8"/>
      <c r="K752" s="8"/>
      <c r="L752" s="8"/>
      <c r="M752" s="8"/>
      <c r="N752" s="8"/>
      <c r="O752" s="8"/>
      <c r="P752" s="8"/>
      <c r="Q752" s="8"/>
      <c r="R752" s="8"/>
      <c r="S752" s="8"/>
      <c r="T752" s="82"/>
    </row>
    <row r="753" spans="1:20" ht="13.5" customHeight="1" x14ac:dyDescent="0.25">
      <c r="A753" s="308"/>
      <c r="B753" s="308"/>
      <c r="C753" s="171" t="str">
        <f>IFERROR(VLOOKUP(C752,Списки!$E:$F,2,0)," ")</f>
        <v>SAVUSHKINA ST 128</v>
      </c>
      <c r="D753" s="310"/>
      <c r="E753" s="171" t="str">
        <f>IFERROR(VLOOKUP(E752,Списки!$E:$F,2,0)," ")</f>
        <v>LEVASHOVSKOE HWY 20</v>
      </c>
      <c r="F753" s="312"/>
      <c r="G753" s="314"/>
      <c r="H753" s="315"/>
      <c r="I753" s="8"/>
      <c r="J753" s="8"/>
      <c r="K753" s="8"/>
      <c r="L753" s="8"/>
      <c r="M753" s="8"/>
      <c r="N753" s="8"/>
      <c r="O753" s="8"/>
      <c r="P753" s="8"/>
      <c r="Q753" s="8"/>
      <c r="R753" s="8"/>
      <c r="S753" s="8"/>
      <c r="T753" s="82"/>
    </row>
    <row r="754" spans="1:20" ht="13.5" customHeight="1" x14ac:dyDescent="0.25">
      <c r="A754" s="307">
        <v>2</v>
      </c>
      <c r="B754" s="307" t="s">
        <v>105</v>
      </c>
      <c r="C754" s="170" t="s">
        <v>44</v>
      </c>
      <c r="D754" s="309">
        <v>0.39583333333333331</v>
      </c>
      <c r="E754" s="262" t="s">
        <v>403</v>
      </c>
      <c r="F754" s="311">
        <v>0.41666666666666669</v>
      </c>
      <c r="G754" s="313" t="s">
        <v>131</v>
      </c>
      <c r="H754" s="315">
        <v>15</v>
      </c>
      <c r="I754" s="8"/>
      <c r="J754" s="8"/>
      <c r="K754" s="8"/>
      <c r="L754" s="8"/>
      <c r="M754" s="8"/>
      <c r="N754" s="8"/>
      <c r="O754" s="8"/>
      <c r="P754" s="8"/>
      <c r="Q754" s="8"/>
      <c r="R754" s="8"/>
      <c r="S754" s="8"/>
      <c r="T754" s="82"/>
    </row>
    <row r="755" spans="1:20" ht="13.5" customHeight="1" x14ac:dyDescent="0.25">
      <c r="A755" s="308"/>
      <c r="B755" s="308"/>
      <c r="C755" s="171" t="str">
        <f>IFERROR(VLOOKUP(C754,Списки!$E:$F,2,0)," ")</f>
        <v>LEVASHOVSKOE HWY 20</v>
      </c>
      <c r="D755" s="310"/>
      <c r="E755" s="171" t="str">
        <f>IFERROR(VLOOKUP(E754,Списки!$E:$F,2,0)," ")</f>
        <v>LIPOVAYA ALLEYA 9</v>
      </c>
      <c r="F755" s="312"/>
      <c r="G755" s="314"/>
      <c r="H755" s="315"/>
      <c r="I755" s="8"/>
      <c r="J755" s="8"/>
      <c r="K755" s="8"/>
      <c r="L755" s="8"/>
      <c r="M755" s="8"/>
      <c r="N755" s="8"/>
      <c r="O755" s="8"/>
      <c r="P755" s="8"/>
      <c r="Q755" s="8"/>
      <c r="R755" s="8"/>
      <c r="S755" s="8"/>
      <c r="T755" s="82"/>
    </row>
    <row r="756" spans="1:20" ht="13.5" customHeight="1" x14ac:dyDescent="0.25">
      <c r="A756" s="307">
        <v>3</v>
      </c>
      <c r="B756" s="307" t="s">
        <v>83</v>
      </c>
      <c r="C756" s="262" t="s">
        <v>403</v>
      </c>
      <c r="D756" s="309">
        <v>0.4375</v>
      </c>
      <c r="E756" s="262" t="s">
        <v>74</v>
      </c>
      <c r="F756" s="311">
        <v>0.45833333333333331</v>
      </c>
      <c r="G756" s="313" t="s">
        <v>137</v>
      </c>
      <c r="H756" s="315">
        <v>12</v>
      </c>
      <c r="I756" s="8"/>
      <c r="J756" s="8"/>
      <c r="K756" s="8"/>
      <c r="L756" s="8"/>
      <c r="M756" s="8"/>
      <c r="N756" s="8"/>
      <c r="O756" s="8"/>
      <c r="P756" s="8"/>
      <c r="Q756" s="8"/>
      <c r="R756" s="8"/>
      <c r="S756" s="8"/>
      <c r="T756" s="82"/>
    </row>
    <row r="757" spans="1:20" ht="13.5" customHeight="1" x14ac:dyDescent="0.25">
      <c r="A757" s="308"/>
      <c r="B757" s="308"/>
      <c r="C757" s="171" t="str">
        <f>IFERROR(VLOOKUP(C756,Списки!$E:$F,2,0)," ")</f>
        <v>LIPOVAYA ALLEYA 9</v>
      </c>
      <c r="D757" s="310"/>
      <c r="E757" s="171" t="str">
        <f>IFERROR(VLOOKUP(E756,Списки!$E:$F,2,0)," ")</f>
        <v>ITALYANSKAYA ST 5</v>
      </c>
      <c r="F757" s="312"/>
      <c r="G757" s="314"/>
      <c r="H757" s="315"/>
      <c r="I757" s="8"/>
      <c r="J757" s="8"/>
      <c r="K757" s="8"/>
      <c r="L757" s="8"/>
      <c r="M757" s="8"/>
      <c r="N757" s="8"/>
      <c r="O757" s="8"/>
      <c r="P757" s="8"/>
      <c r="Q757" s="8"/>
      <c r="R757" s="8"/>
      <c r="S757" s="8"/>
      <c r="T757" s="82"/>
    </row>
    <row r="758" spans="1:20" ht="13.5" customHeight="1" x14ac:dyDescent="0.25">
      <c r="A758" s="307">
        <v>4</v>
      </c>
      <c r="B758" s="307" t="s">
        <v>135</v>
      </c>
      <c r="C758" s="262" t="s">
        <v>74</v>
      </c>
      <c r="D758" s="309">
        <v>0.47222222222222227</v>
      </c>
      <c r="E758" s="262" t="s">
        <v>48</v>
      </c>
      <c r="F758" s="311">
        <v>0.49305555555555558</v>
      </c>
      <c r="G758" s="313" t="s">
        <v>109</v>
      </c>
      <c r="H758" s="315">
        <v>13</v>
      </c>
      <c r="I758" s="8"/>
      <c r="J758" s="8"/>
      <c r="K758" s="8"/>
      <c r="L758" s="8"/>
      <c r="M758" s="8"/>
      <c r="N758" s="8"/>
      <c r="O758" s="8"/>
      <c r="P758" s="8"/>
      <c r="Q758" s="8"/>
      <c r="R758" s="8"/>
      <c r="S758" s="8"/>
      <c r="T758" s="82"/>
    </row>
    <row r="759" spans="1:20" ht="13.5" customHeight="1" x14ac:dyDescent="0.25">
      <c r="A759" s="308"/>
      <c r="B759" s="308"/>
      <c r="C759" s="171" t="str">
        <f>IFERROR(VLOOKUP(C758,Списки!$E:$F,2,0)," ")</f>
        <v>ITALYANSKAYA ST 5</v>
      </c>
      <c r="D759" s="310"/>
      <c r="E759" s="171" t="str">
        <f>IFERROR(VLOOKUP(E758,Списки!$E:$F,2,0)," ")</f>
        <v>SHKOLNAYA ST 108</v>
      </c>
      <c r="F759" s="312"/>
      <c r="G759" s="314"/>
      <c r="H759" s="315"/>
      <c r="I759" s="8"/>
      <c r="J759" s="8"/>
      <c r="K759" s="8"/>
      <c r="L759" s="8"/>
      <c r="M759" s="8"/>
      <c r="N759" s="8"/>
      <c r="O759" s="8"/>
      <c r="P759" s="8"/>
      <c r="Q759" s="8"/>
      <c r="R759" s="8"/>
      <c r="S759" s="8"/>
      <c r="T759" s="82"/>
    </row>
    <row r="760" spans="1:20" ht="13.5" customHeight="1" x14ac:dyDescent="0.25">
      <c r="A760" s="307">
        <v>5</v>
      </c>
      <c r="B760" s="307"/>
      <c r="C760" s="262" t="s">
        <v>48</v>
      </c>
      <c r="D760" s="309">
        <v>0.52083333333333337</v>
      </c>
      <c r="E760" s="263" t="s">
        <v>44</v>
      </c>
      <c r="F760" s="311">
        <v>0.71527777777777779</v>
      </c>
      <c r="G760" s="313"/>
      <c r="H760" s="315">
        <v>16</v>
      </c>
      <c r="I760" s="8"/>
      <c r="J760" s="8"/>
      <c r="K760" s="8"/>
      <c r="L760" s="8"/>
      <c r="M760" s="8"/>
      <c r="N760" s="8"/>
      <c r="O760" s="8"/>
      <c r="P760" s="8"/>
      <c r="Q760" s="8"/>
      <c r="R760" s="8"/>
      <c r="S760" s="8"/>
      <c r="T760" s="82"/>
    </row>
    <row r="761" spans="1:20" ht="13.5" customHeight="1" x14ac:dyDescent="0.25">
      <c r="A761" s="308"/>
      <c r="B761" s="308"/>
      <c r="C761" s="171" t="str">
        <f>IFERROR(VLOOKUP(C760,Списки!$E:$F,2,0)," ")</f>
        <v>SHKOLNAYA ST 108</v>
      </c>
      <c r="D761" s="310"/>
      <c r="E761" s="172" t="str">
        <f>IFERROR(VLOOKUP(E760,Списки!$E:$F,2,0)," ")</f>
        <v>LEVASHOVSKOE HWY 20</v>
      </c>
      <c r="F761" s="312"/>
      <c r="G761" s="314"/>
      <c r="H761" s="315"/>
      <c r="I761" s="8"/>
      <c r="J761" s="8"/>
      <c r="K761" s="8"/>
      <c r="L761" s="8"/>
      <c r="M761" s="8"/>
      <c r="N761" s="8"/>
      <c r="O761" s="8"/>
      <c r="P761" s="8"/>
      <c r="Q761" s="8"/>
      <c r="R761" s="8"/>
      <c r="S761" s="8"/>
      <c r="T761" s="82"/>
    </row>
    <row r="762" spans="1:20" ht="13.5" customHeight="1" x14ac:dyDescent="0.25">
      <c r="A762" s="307">
        <v>6</v>
      </c>
      <c r="B762" s="307" t="s">
        <v>140</v>
      </c>
      <c r="C762" s="263" t="s">
        <v>44</v>
      </c>
      <c r="D762" s="309">
        <v>0.73611111111111116</v>
      </c>
      <c r="E762" s="262"/>
      <c r="F762" s="311">
        <v>0.75694444444444453</v>
      </c>
      <c r="G762" s="313"/>
      <c r="H762" s="315">
        <v>25</v>
      </c>
      <c r="I762" s="8"/>
      <c r="J762" s="8"/>
      <c r="K762" s="8"/>
      <c r="L762" s="8"/>
      <c r="M762" s="8"/>
      <c r="N762" s="8"/>
      <c r="O762" s="8"/>
      <c r="P762" s="8"/>
      <c r="Q762" s="8"/>
      <c r="R762" s="8"/>
      <c r="S762" s="8"/>
      <c r="T762" s="82"/>
    </row>
    <row r="763" spans="1:20" ht="13.5" customHeight="1" x14ac:dyDescent="0.25">
      <c r="A763" s="308"/>
      <c r="B763" s="308"/>
      <c r="C763" s="171" t="str">
        <f>IFERROR(VLOOKUP(C762,Списки!$E:$F,2,0)," ")</f>
        <v>LEVASHOVSKOE HWY 20</v>
      </c>
      <c r="D763" s="310"/>
      <c r="E763" s="179" t="s">
        <v>404</v>
      </c>
      <c r="F763" s="312"/>
      <c r="G763" s="314"/>
      <c r="H763" s="315"/>
      <c r="I763" s="8"/>
      <c r="J763" s="8"/>
      <c r="K763" s="8"/>
      <c r="L763" s="8"/>
      <c r="M763" s="8"/>
      <c r="N763" s="8"/>
      <c r="O763" s="8"/>
      <c r="P763" s="8"/>
      <c r="Q763" s="8"/>
      <c r="R763" s="8"/>
      <c r="S763" s="8"/>
      <c r="T763" s="82"/>
    </row>
    <row r="764" spans="1:20" ht="13.5" customHeight="1" x14ac:dyDescent="0.25">
      <c r="A764" s="307">
        <v>7</v>
      </c>
      <c r="B764" s="307"/>
      <c r="C764" s="170"/>
      <c r="D764" s="309">
        <v>0.75694444444444453</v>
      </c>
      <c r="E764" s="262" t="s">
        <v>45</v>
      </c>
      <c r="F764" s="311">
        <v>0.79166666666666663</v>
      </c>
      <c r="G764" s="313"/>
      <c r="H764" s="315">
        <v>16</v>
      </c>
      <c r="I764" s="8"/>
      <c r="J764" s="8"/>
      <c r="K764" s="8"/>
      <c r="L764" s="8"/>
      <c r="M764" s="8"/>
      <c r="N764" s="8"/>
      <c r="O764" s="8"/>
      <c r="P764" s="8"/>
      <c r="Q764" s="8"/>
      <c r="R764" s="8"/>
      <c r="S764" s="8"/>
      <c r="T764" s="82"/>
    </row>
    <row r="765" spans="1:20" ht="13.5" customHeight="1" x14ac:dyDescent="0.25">
      <c r="A765" s="308"/>
      <c r="B765" s="308"/>
      <c r="C765" s="179" t="s">
        <v>404</v>
      </c>
      <c r="D765" s="310"/>
      <c r="E765" s="171" t="str">
        <f>IFERROR(VLOOKUP(E764,Списки!$E:$F,2,0)," ")</f>
        <v>SAVUSHKINA ST 128</v>
      </c>
      <c r="F765" s="312"/>
      <c r="G765" s="314"/>
      <c r="H765" s="315"/>
      <c r="I765" s="8"/>
      <c r="J765" s="8"/>
      <c r="K765" s="8"/>
      <c r="L765" s="8"/>
      <c r="M765" s="8"/>
      <c r="N765" s="8"/>
      <c r="O765" s="8"/>
      <c r="P765" s="8"/>
      <c r="Q765" s="8"/>
      <c r="R765" s="8"/>
      <c r="S765" s="8"/>
      <c r="T765" s="82"/>
    </row>
    <row r="766" spans="1:20" ht="13.5" customHeight="1" x14ac:dyDescent="0.25">
      <c r="A766" s="307">
        <v>8</v>
      </c>
      <c r="B766" s="307"/>
      <c r="C766" s="170"/>
      <c r="D766" s="309"/>
      <c r="E766" s="170"/>
      <c r="F766" s="311"/>
      <c r="G766" s="313"/>
      <c r="H766" s="315"/>
      <c r="I766" s="8"/>
      <c r="J766" s="8"/>
      <c r="K766" s="8"/>
      <c r="L766" s="8"/>
      <c r="M766" s="8"/>
      <c r="N766" s="8"/>
      <c r="O766" s="8"/>
      <c r="P766" s="8"/>
      <c r="Q766" s="8"/>
      <c r="R766" s="8"/>
      <c r="S766" s="8"/>
      <c r="T766" s="82"/>
    </row>
    <row r="767" spans="1:20" ht="13.5" customHeight="1" x14ac:dyDescent="0.25">
      <c r="A767" s="308"/>
      <c r="B767" s="308"/>
      <c r="C767" s="179" t="str">
        <f>IFERROR(VLOOKUP(C766,Списки!$E:$F,2,0)," ")</f>
        <v xml:space="preserve"> </v>
      </c>
      <c r="D767" s="310"/>
      <c r="E767" s="171" t="str">
        <f>IFERROR(VLOOKUP(E766,Списки!$E:$F,2,0)," ")</f>
        <v xml:space="preserve"> </v>
      </c>
      <c r="F767" s="312"/>
      <c r="G767" s="314"/>
      <c r="H767" s="315"/>
      <c r="I767" s="8"/>
      <c r="J767" s="8"/>
      <c r="K767" s="8"/>
      <c r="L767" s="8"/>
      <c r="M767" s="8"/>
      <c r="N767" s="8"/>
      <c r="O767" s="8"/>
      <c r="P767" s="8"/>
      <c r="Q767" s="8"/>
      <c r="R767" s="8"/>
      <c r="S767" s="8"/>
      <c r="T767" s="82"/>
    </row>
    <row r="768" spans="1:20" ht="13.5" customHeight="1" x14ac:dyDescent="0.25">
      <c r="A768" s="307">
        <v>9</v>
      </c>
      <c r="B768" s="307"/>
      <c r="C768" s="170"/>
      <c r="D768" s="309"/>
      <c r="E768" s="170"/>
      <c r="F768" s="311"/>
      <c r="G768" s="313"/>
      <c r="H768" s="315"/>
      <c r="I768" s="8"/>
      <c r="J768" s="8"/>
      <c r="K768" s="8"/>
      <c r="L768" s="8"/>
      <c r="M768" s="8"/>
      <c r="N768" s="8"/>
      <c r="O768" s="8"/>
      <c r="P768" s="8"/>
      <c r="Q768" s="8"/>
      <c r="R768" s="8"/>
      <c r="S768" s="8"/>
      <c r="T768" s="82"/>
    </row>
    <row r="769" spans="1:20" ht="13.5" customHeight="1" x14ac:dyDescent="0.25">
      <c r="A769" s="308"/>
      <c r="B769" s="308"/>
      <c r="C769" s="171" t="str">
        <f>IFERROR(VLOOKUP(C768,Списки!$E:$F,2,0)," ")</f>
        <v xml:space="preserve"> </v>
      </c>
      <c r="D769" s="310"/>
      <c r="E769" s="171" t="str">
        <f>IFERROR(VLOOKUP(E768,Списки!$E:$F,2,0)," ")</f>
        <v xml:space="preserve"> </v>
      </c>
      <c r="F769" s="312"/>
      <c r="G769" s="314"/>
      <c r="H769" s="315"/>
      <c r="I769" s="8"/>
      <c r="J769" s="8"/>
      <c r="K769" s="8"/>
      <c r="L769" s="8"/>
      <c r="M769" s="8"/>
      <c r="N769" s="8"/>
      <c r="O769" s="8"/>
      <c r="P769" s="8"/>
      <c r="Q769" s="8"/>
      <c r="R769" s="8"/>
      <c r="S769" s="8"/>
      <c r="T769" s="82"/>
    </row>
    <row r="770" spans="1:20" ht="13.5" customHeight="1" x14ac:dyDescent="0.25">
      <c r="A770" s="307">
        <v>10</v>
      </c>
      <c r="B770" s="307"/>
      <c r="C770" s="170"/>
      <c r="D770" s="309"/>
      <c r="E770" s="170"/>
      <c r="F770" s="311"/>
      <c r="G770" s="313"/>
      <c r="H770" s="315"/>
      <c r="I770" s="8"/>
      <c r="J770" s="8"/>
      <c r="K770" s="8"/>
      <c r="L770" s="8"/>
      <c r="M770" s="8"/>
      <c r="N770" s="8"/>
      <c r="O770" s="8"/>
      <c r="P770" s="8"/>
      <c r="Q770" s="8"/>
      <c r="R770" s="8"/>
      <c r="S770" s="8"/>
      <c r="T770" s="82"/>
    </row>
    <row r="771" spans="1:20" ht="13.5" customHeight="1" x14ac:dyDescent="0.25">
      <c r="A771" s="308"/>
      <c r="B771" s="308"/>
      <c r="C771" s="171" t="str">
        <f>IFERROR(VLOOKUP(C770,Списки!$E:$F,2,0)," ")</f>
        <v xml:space="preserve"> </v>
      </c>
      <c r="D771" s="310"/>
      <c r="E771" s="171" t="str">
        <f>IFERROR(VLOOKUP(E770,Списки!$E:$F,2,0)," ")</f>
        <v xml:space="preserve"> </v>
      </c>
      <c r="F771" s="312"/>
      <c r="G771" s="314"/>
      <c r="H771" s="315"/>
      <c r="I771" s="8"/>
      <c r="J771" s="8"/>
      <c r="K771" s="8"/>
      <c r="L771" s="8"/>
      <c r="M771" s="8"/>
      <c r="N771" s="8"/>
      <c r="O771" s="8"/>
      <c r="P771" s="8"/>
      <c r="Q771" s="8"/>
      <c r="R771" s="8"/>
      <c r="S771" s="8"/>
      <c r="T771" s="82"/>
    </row>
    <row r="772" spans="1:20" ht="13.5" customHeight="1" x14ac:dyDescent="0.25">
      <c r="A772" s="307">
        <v>11</v>
      </c>
      <c r="B772" s="307"/>
      <c r="C772" s="170"/>
      <c r="D772" s="309"/>
      <c r="E772" s="170"/>
      <c r="F772" s="311"/>
      <c r="G772" s="313"/>
      <c r="H772" s="315"/>
      <c r="I772" s="8"/>
      <c r="J772" s="8"/>
      <c r="K772" s="8"/>
      <c r="L772" s="8"/>
      <c r="M772" s="8"/>
      <c r="N772" s="8"/>
      <c r="O772" s="8"/>
      <c r="P772" s="8"/>
      <c r="Q772" s="8"/>
      <c r="R772" s="8"/>
      <c r="S772" s="8"/>
      <c r="T772" s="82"/>
    </row>
    <row r="773" spans="1:20" ht="13.5" customHeight="1" x14ac:dyDescent="0.25">
      <c r="A773" s="308"/>
      <c r="B773" s="308"/>
      <c r="C773" s="171" t="str">
        <f>IFERROR(VLOOKUP(C772,Списки!$E:$F,2,0)," ")</f>
        <v xml:space="preserve"> </v>
      </c>
      <c r="D773" s="310"/>
      <c r="E773" s="171" t="str">
        <f>IFERROR(VLOOKUP(E772,Списки!$E:$F,2,0)," ")</f>
        <v xml:space="preserve"> </v>
      </c>
      <c r="F773" s="312"/>
      <c r="G773" s="314"/>
      <c r="H773" s="315"/>
      <c r="I773" s="8"/>
      <c r="J773" s="8"/>
      <c r="K773" s="8"/>
      <c r="L773" s="8"/>
      <c r="M773" s="8"/>
      <c r="N773" s="8"/>
      <c r="O773" s="8"/>
      <c r="P773" s="8"/>
      <c r="Q773" s="8"/>
      <c r="R773" s="8"/>
      <c r="S773" s="8"/>
      <c r="T773" s="82"/>
    </row>
    <row r="774" spans="1:20" ht="13.5" customHeight="1" x14ac:dyDescent="0.25">
      <c r="A774" s="307">
        <v>12</v>
      </c>
      <c r="B774" s="307"/>
      <c r="C774" s="170"/>
      <c r="D774" s="309"/>
      <c r="E774" s="170"/>
      <c r="F774" s="311"/>
      <c r="G774" s="313"/>
      <c r="H774" s="315"/>
      <c r="I774" s="8"/>
      <c r="J774" s="8"/>
      <c r="K774" s="8"/>
      <c r="L774" s="8"/>
      <c r="M774" s="8"/>
      <c r="N774" s="8"/>
      <c r="O774" s="8"/>
      <c r="P774" s="8"/>
      <c r="Q774" s="8"/>
      <c r="R774" s="8"/>
      <c r="S774" s="8"/>
      <c r="T774" s="82"/>
    </row>
    <row r="775" spans="1:20" ht="13.5" customHeight="1" x14ac:dyDescent="0.25">
      <c r="A775" s="308"/>
      <c r="B775" s="308"/>
      <c r="C775" s="171" t="str">
        <f>IFERROR(VLOOKUP(C774,Списки!$E:$F,2,0)," ")</f>
        <v xml:space="preserve"> </v>
      </c>
      <c r="D775" s="310"/>
      <c r="E775" s="171" t="str">
        <f>IFERROR(VLOOKUP(E774,Списки!$E:$F,2,0)," ")</f>
        <v xml:space="preserve"> </v>
      </c>
      <c r="F775" s="312"/>
      <c r="G775" s="314"/>
      <c r="H775" s="315"/>
      <c r="I775" s="8"/>
      <c r="J775" s="8"/>
      <c r="K775" s="8"/>
      <c r="L775" s="8"/>
      <c r="M775" s="8"/>
      <c r="N775" s="8"/>
      <c r="O775" s="8"/>
      <c r="P775" s="8"/>
      <c r="Q775" s="8"/>
      <c r="R775" s="8"/>
      <c r="S775" s="8"/>
      <c r="T775" s="82"/>
    </row>
    <row r="776" spans="1:20" ht="13.5" customHeight="1" x14ac:dyDescent="0.25">
      <c r="A776" s="307">
        <v>13</v>
      </c>
      <c r="B776" s="307"/>
      <c r="C776" s="170"/>
      <c r="D776" s="309"/>
      <c r="E776" s="170"/>
      <c r="F776" s="311"/>
      <c r="G776" s="313"/>
      <c r="H776" s="315"/>
      <c r="I776" s="8"/>
      <c r="J776" s="8"/>
      <c r="K776" s="8"/>
      <c r="L776" s="8"/>
      <c r="M776" s="8"/>
      <c r="N776" s="8"/>
      <c r="O776" s="8"/>
      <c r="P776" s="8"/>
      <c r="Q776" s="8"/>
      <c r="R776" s="8"/>
      <c r="S776" s="8"/>
      <c r="T776" s="82"/>
    </row>
    <row r="777" spans="1:20" ht="13.5" customHeight="1" x14ac:dyDescent="0.25">
      <c r="A777" s="308"/>
      <c r="B777" s="308"/>
      <c r="C777" s="171" t="str">
        <f>IFERROR(VLOOKUP(C776,Списки!$E:$F,2,0)," ")</f>
        <v xml:space="preserve"> </v>
      </c>
      <c r="D777" s="310"/>
      <c r="E777" s="171" t="str">
        <f>IFERROR(VLOOKUP(E776,Списки!$E:$F,2,0)," ")</f>
        <v xml:space="preserve"> </v>
      </c>
      <c r="F777" s="312"/>
      <c r="G777" s="314"/>
      <c r="H777" s="315"/>
      <c r="I777" s="8"/>
      <c r="J777" s="8"/>
      <c r="K777" s="8"/>
      <c r="L777" s="8"/>
      <c r="M777" s="8"/>
      <c r="N777" s="8"/>
      <c r="O777" s="8"/>
      <c r="P777" s="8"/>
      <c r="Q777" s="8"/>
      <c r="R777" s="8"/>
      <c r="S777" s="8"/>
      <c r="T777" s="82"/>
    </row>
    <row r="778" spans="1:20" ht="13.5" customHeight="1" x14ac:dyDescent="0.25">
      <c r="A778" s="307">
        <v>14</v>
      </c>
      <c r="B778" s="307"/>
      <c r="C778" s="170"/>
      <c r="D778" s="309"/>
      <c r="E778" s="170"/>
      <c r="F778" s="311"/>
      <c r="G778" s="313"/>
      <c r="H778" s="315"/>
      <c r="I778" s="8"/>
      <c r="J778" s="8"/>
      <c r="K778" s="8"/>
      <c r="L778" s="8"/>
      <c r="M778" s="8"/>
      <c r="N778" s="8"/>
      <c r="O778" s="8"/>
      <c r="P778" s="8"/>
      <c r="Q778" s="8"/>
      <c r="R778" s="8"/>
      <c r="S778" s="8"/>
      <c r="T778" s="82"/>
    </row>
    <row r="779" spans="1:20" ht="13.5" customHeight="1" x14ac:dyDescent="0.25">
      <c r="A779" s="308"/>
      <c r="B779" s="308"/>
      <c r="C779" s="171" t="str">
        <f>IFERROR(VLOOKUP(C778,Списки!$E:$F,2,0)," ")</f>
        <v xml:space="preserve"> </v>
      </c>
      <c r="D779" s="310"/>
      <c r="E779" s="171" t="str">
        <f>IFERROR(VLOOKUP(E778,Списки!$E:$F,2,0)," ")</f>
        <v xml:space="preserve"> </v>
      </c>
      <c r="F779" s="312"/>
      <c r="G779" s="314"/>
      <c r="H779" s="315"/>
      <c r="I779" s="8"/>
      <c r="J779" s="8"/>
      <c r="K779" s="8"/>
      <c r="L779" s="8"/>
      <c r="M779" s="8"/>
      <c r="N779" s="8"/>
      <c r="O779" s="8"/>
      <c r="P779" s="8"/>
      <c r="Q779" s="8"/>
      <c r="R779" s="8"/>
      <c r="S779" s="8"/>
      <c r="T779" s="82"/>
    </row>
    <row r="780" spans="1:20" ht="13.5" customHeight="1" x14ac:dyDescent="0.25">
      <c r="A780" s="307">
        <v>15</v>
      </c>
      <c r="B780" s="307"/>
      <c r="C780" s="170"/>
      <c r="D780" s="309"/>
      <c r="E780" s="170"/>
      <c r="F780" s="311"/>
      <c r="G780" s="313"/>
      <c r="H780" s="315"/>
      <c r="I780" s="8"/>
      <c r="J780" s="8"/>
      <c r="K780" s="8"/>
      <c r="L780" s="8"/>
      <c r="M780" s="8"/>
      <c r="N780" s="8"/>
      <c r="O780" s="8"/>
      <c r="P780" s="8"/>
      <c r="Q780" s="8"/>
      <c r="R780" s="8"/>
      <c r="S780" s="8"/>
      <c r="T780" s="82"/>
    </row>
    <row r="781" spans="1:20" ht="13.5" customHeight="1" x14ac:dyDescent="0.25">
      <c r="A781" s="308"/>
      <c r="B781" s="308"/>
      <c r="C781" s="171" t="str">
        <f>IFERROR(VLOOKUP(C780,Списки!$E:$F,2,0)," ")</f>
        <v xml:space="preserve"> </v>
      </c>
      <c r="D781" s="310"/>
      <c r="E781" s="171" t="str">
        <f>IFERROR(VLOOKUP(E780,Списки!$E:$F,2,0)," ")</f>
        <v xml:space="preserve"> </v>
      </c>
      <c r="F781" s="312"/>
      <c r="G781" s="314"/>
      <c r="H781" s="315"/>
      <c r="I781" s="8"/>
      <c r="J781" s="8"/>
      <c r="K781" s="8"/>
      <c r="L781" s="8"/>
      <c r="M781" s="8"/>
      <c r="N781" s="8"/>
      <c r="O781" s="8"/>
      <c r="P781" s="8"/>
      <c r="Q781" s="8"/>
      <c r="R781" s="8"/>
      <c r="S781" s="8"/>
      <c r="T781" s="82"/>
    </row>
    <row r="782" spans="1:20" x14ac:dyDescent="0.25">
      <c r="A782" s="36"/>
      <c r="B782" s="37"/>
      <c r="C782" s="173"/>
      <c r="D782" s="173"/>
      <c r="E782" s="174" t="s">
        <v>30</v>
      </c>
      <c r="F782" s="39">
        <f>IFERROR(SUM(IFERROR(IF((LOOKUP(9E+307,F752:F781))&gt;$M$39,(LOOKUP(9E+307,F752:F781))-$M$39,IF((LOOKUP(9E+307,F752:F781))&lt;0.166666667,0+(LOOKUP(9E+307,F752:F781))+1-$M$39,0)),0),(IF(AND(IF(D752,$M$38-D752,0)&gt;0,F752,F752&gt;D752),$M$38-D752,IF(AND(D752,F752,D752&gt;F752),"error",0)))),"ОШИБКА")</f>
        <v>8.3333333333333259E-2</v>
      </c>
      <c r="G782" s="40" t="s">
        <v>27</v>
      </c>
      <c r="H782" s="206">
        <f>SUM(H752:H781)</f>
        <v>114</v>
      </c>
      <c r="I782" s="8"/>
      <c r="J782" s="8"/>
      <c r="K782" s="8"/>
      <c r="L782" s="8"/>
      <c r="M782" s="8"/>
      <c r="N782" s="8"/>
      <c r="O782" s="8"/>
      <c r="P782" s="8"/>
      <c r="Q782" s="8"/>
      <c r="R782" s="8"/>
      <c r="S782" s="8"/>
      <c r="T782" s="82"/>
    </row>
    <row r="783" spans="1:20" ht="15.75" x14ac:dyDescent="0.25">
      <c r="A783" s="316">
        <f>DATE(K1,J1,24)</f>
        <v>43854</v>
      </c>
      <c r="B783" s="316"/>
      <c r="C783" s="316"/>
      <c r="D783" s="316"/>
      <c r="E783" s="316"/>
      <c r="F783" s="316"/>
      <c r="G783" s="316"/>
      <c r="H783" s="316"/>
      <c r="I783" s="8"/>
      <c r="J783" s="8"/>
      <c r="K783" s="8"/>
      <c r="L783" s="8"/>
      <c r="M783" s="8"/>
      <c r="N783" s="8"/>
      <c r="O783" s="8"/>
      <c r="P783" s="8"/>
      <c r="Q783" s="8"/>
      <c r="R783" s="8"/>
      <c r="S783" s="8"/>
      <c r="T783" s="82"/>
    </row>
    <row r="784" spans="1:20" ht="13.5" customHeight="1" x14ac:dyDescent="0.25">
      <c r="A784" s="318"/>
      <c r="B784" s="320" t="s">
        <v>34</v>
      </c>
      <c r="C784" s="205" t="s">
        <v>39</v>
      </c>
      <c r="D784" s="322" t="s">
        <v>36</v>
      </c>
      <c r="E784" s="205" t="s">
        <v>37</v>
      </c>
      <c r="F784" s="320" t="s">
        <v>36</v>
      </c>
      <c r="G784" s="324" t="s">
        <v>35</v>
      </c>
      <c r="H784" s="315" t="s">
        <v>40</v>
      </c>
      <c r="I784" s="8"/>
      <c r="J784" s="8"/>
      <c r="K784" s="8"/>
      <c r="L784" s="8"/>
      <c r="M784" s="8"/>
      <c r="N784" s="8"/>
      <c r="O784" s="8"/>
      <c r="P784" s="8"/>
      <c r="Q784" s="8"/>
      <c r="R784" s="8"/>
      <c r="S784" s="8"/>
      <c r="T784" s="82"/>
    </row>
    <row r="785" spans="1:20" ht="13.5" customHeight="1" x14ac:dyDescent="0.25">
      <c r="A785" s="319"/>
      <c r="B785" s="321"/>
      <c r="C785" s="204" t="s">
        <v>38</v>
      </c>
      <c r="D785" s="323"/>
      <c r="E785" s="204" t="s">
        <v>38</v>
      </c>
      <c r="F785" s="321"/>
      <c r="G785" s="325"/>
      <c r="H785" s="315"/>
      <c r="I785" s="8"/>
      <c r="J785" s="8"/>
      <c r="K785" s="8"/>
      <c r="L785" s="8"/>
      <c r="M785" s="8"/>
      <c r="N785" s="8"/>
      <c r="O785" s="8"/>
      <c r="P785" s="8"/>
      <c r="Q785" s="8"/>
      <c r="R785" s="8"/>
      <c r="S785" s="8"/>
      <c r="T785" s="82"/>
    </row>
    <row r="786" spans="1:20" ht="13.5" customHeight="1" x14ac:dyDescent="0.25">
      <c r="A786" s="307">
        <v>1</v>
      </c>
      <c r="B786" s="307"/>
      <c r="C786" s="170" t="s">
        <v>43</v>
      </c>
      <c r="D786" s="309"/>
      <c r="E786" s="170" t="s">
        <v>44</v>
      </c>
      <c r="F786" s="311">
        <v>0.375</v>
      </c>
      <c r="G786" s="313"/>
      <c r="H786" s="315">
        <v>17</v>
      </c>
      <c r="I786" s="8"/>
      <c r="J786" s="8"/>
      <c r="K786" s="8"/>
      <c r="L786" s="8"/>
      <c r="M786" s="8"/>
      <c r="N786" s="8"/>
      <c r="O786" s="8"/>
      <c r="P786" s="8"/>
      <c r="Q786" s="8"/>
      <c r="R786" s="8"/>
      <c r="S786" s="8"/>
      <c r="T786" s="82"/>
    </row>
    <row r="787" spans="1:20" ht="13.5" customHeight="1" x14ac:dyDescent="0.25">
      <c r="A787" s="308"/>
      <c r="B787" s="308"/>
      <c r="C787" s="171" t="str">
        <f>IFERROR(VLOOKUP(C786,Списки!$E:$F,2,0)," ")</f>
        <v>SAVUSHKINA ST 128</v>
      </c>
      <c r="D787" s="310"/>
      <c r="E787" s="171" t="str">
        <f>IFERROR(VLOOKUP(E786,Списки!$E:$F,2,0)," ")</f>
        <v>LEVASHOVSKOE HWY 20</v>
      </c>
      <c r="F787" s="312"/>
      <c r="G787" s="314"/>
      <c r="H787" s="315"/>
      <c r="I787" s="8"/>
      <c r="J787" s="8"/>
      <c r="K787" s="8"/>
      <c r="L787" s="8"/>
      <c r="M787" s="8"/>
      <c r="N787" s="8"/>
      <c r="O787" s="8"/>
      <c r="P787" s="8"/>
      <c r="Q787" s="8"/>
      <c r="R787" s="8"/>
      <c r="S787" s="8"/>
      <c r="T787" s="82"/>
    </row>
    <row r="788" spans="1:20" ht="13.5" customHeight="1" x14ac:dyDescent="0.25">
      <c r="A788" s="307">
        <v>2</v>
      </c>
      <c r="B788" s="307" t="s">
        <v>51</v>
      </c>
      <c r="C788" s="170" t="s">
        <v>44</v>
      </c>
      <c r="D788" s="309">
        <v>0.38194444444444442</v>
      </c>
      <c r="E788" s="262" t="s">
        <v>407</v>
      </c>
      <c r="F788" s="311">
        <v>0.41666666666666669</v>
      </c>
      <c r="G788" s="313" t="s">
        <v>422</v>
      </c>
      <c r="H788" s="315" t="s">
        <v>338</v>
      </c>
      <c r="I788" s="8"/>
      <c r="J788" s="8"/>
      <c r="K788" s="8"/>
      <c r="L788" s="8"/>
      <c r="M788" s="8"/>
      <c r="N788" s="8"/>
      <c r="O788" s="8"/>
      <c r="P788" s="8"/>
      <c r="Q788" s="8"/>
      <c r="R788" s="8"/>
      <c r="S788" s="8"/>
      <c r="T788" s="82"/>
    </row>
    <row r="789" spans="1:20" ht="13.5" customHeight="1" x14ac:dyDescent="0.25">
      <c r="A789" s="308"/>
      <c r="B789" s="308"/>
      <c r="C789" s="171" t="str">
        <f>IFERROR(VLOOKUP(C788,Списки!$E:$F,2,0)," ")</f>
        <v>LEVASHOVSKOE HWY 20</v>
      </c>
      <c r="D789" s="310"/>
      <c r="E789" s="171" t="s">
        <v>406</v>
      </c>
      <c r="F789" s="312"/>
      <c r="G789" s="314"/>
      <c r="H789" s="315"/>
      <c r="I789" s="8"/>
      <c r="J789" s="8"/>
      <c r="K789" s="8"/>
      <c r="L789" s="8"/>
      <c r="M789" s="8"/>
      <c r="N789" s="8"/>
      <c r="O789" s="8"/>
      <c r="P789" s="8"/>
      <c r="Q789" s="8"/>
      <c r="R789" s="8"/>
      <c r="S789" s="8"/>
      <c r="T789" s="82"/>
    </row>
    <row r="790" spans="1:20" ht="13.5" customHeight="1" x14ac:dyDescent="0.25">
      <c r="A790" s="307">
        <v>3</v>
      </c>
      <c r="B790" s="307"/>
      <c r="C790" s="262" t="s">
        <v>407</v>
      </c>
      <c r="D790" s="309">
        <v>0.5625</v>
      </c>
      <c r="E790" s="262" t="s">
        <v>44</v>
      </c>
      <c r="F790" s="311">
        <v>0.59027777777777779</v>
      </c>
      <c r="G790" s="313"/>
      <c r="H790" s="315" t="s">
        <v>338</v>
      </c>
      <c r="I790" s="8"/>
      <c r="J790" s="8"/>
      <c r="K790" s="8"/>
      <c r="L790" s="8"/>
      <c r="M790" s="8"/>
      <c r="N790" s="8"/>
      <c r="O790" s="8"/>
      <c r="P790" s="8"/>
      <c r="Q790" s="8"/>
      <c r="R790" s="8"/>
      <c r="S790" s="8"/>
      <c r="T790" s="82"/>
    </row>
    <row r="791" spans="1:20" ht="13.5" customHeight="1" x14ac:dyDescent="0.25">
      <c r="A791" s="308"/>
      <c r="B791" s="308"/>
      <c r="C791" s="171" t="s">
        <v>406</v>
      </c>
      <c r="D791" s="310"/>
      <c r="E791" s="171" t="str">
        <f>IFERROR(VLOOKUP(E790,Списки!$E:$F,2,0)," ")</f>
        <v>LEVASHOVSKOE HWY 20</v>
      </c>
      <c r="F791" s="312"/>
      <c r="G791" s="314"/>
      <c r="H791" s="315"/>
      <c r="I791" s="8"/>
      <c r="J791" s="8"/>
      <c r="K791" s="8"/>
      <c r="L791" s="8"/>
      <c r="M791" s="8"/>
      <c r="N791" s="8"/>
      <c r="O791" s="8"/>
      <c r="P791" s="8"/>
      <c r="Q791" s="8"/>
      <c r="R791" s="8"/>
      <c r="S791" s="8"/>
      <c r="T791" s="82"/>
    </row>
    <row r="792" spans="1:20" ht="13.5" customHeight="1" x14ac:dyDescent="0.25">
      <c r="A792" s="307">
        <v>4</v>
      </c>
      <c r="B792" s="307" t="s">
        <v>51</v>
      </c>
      <c r="C792" s="262" t="s">
        <v>44</v>
      </c>
      <c r="D792" s="309">
        <v>0.60416666666666663</v>
      </c>
      <c r="E792" s="262" t="s">
        <v>226</v>
      </c>
      <c r="F792" s="311">
        <v>0.61805555555555558</v>
      </c>
      <c r="G792" s="313" t="s">
        <v>184</v>
      </c>
      <c r="H792" s="315">
        <v>16</v>
      </c>
      <c r="I792" s="8"/>
      <c r="J792" s="8"/>
      <c r="K792" s="8"/>
      <c r="L792" s="8"/>
      <c r="M792" s="8"/>
      <c r="N792" s="8"/>
      <c r="O792" s="8"/>
      <c r="P792" s="8"/>
      <c r="Q792" s="8"/>
      <c r="R792" s="8"/>
      <c r="S792" s="8"/>
      <c r="T792" s="82"/>
    </row>
    <row r="793" spans="1:20" ht="13.5" customHeight="1" x14ac:dyDescent="0.25">
      <c r="A793" s="308"/>
      <c r="B793" s="308"/>
      <c r="C793" s="171" t="str">
        <f>IFERROR(VLOOKUP(C792,Списки!$E:$F,2,0)," ")</f>
        <v>LEVASHOVSKOE HWY 20</v>
      </c>
      <c r="D793" s="310"/>
      <c r="E793" s="171" t="str">
        <f>IFERROR(VLOOKUP(E792,Списки!$E:$F,2,0)," ")</f>
        <v>VOLODARSKOGO ST 3</v>
      </c>
      <c r="F793" s="312"/>
      <c r="G793" s="314"/>
      <c r="H793" s="315"/>
      <c r="I793" s="8"/>
      <c r="J793" s="8"/>
      <c r="K793" s="8"/>
      <c r="L793" s="8"/>
      <c r="M793" s="8"/>
      <c r="N793" s="8"/>
      <c r="O793" s="8"/>
      <c r="P793" s="8"/>
      <c r="Q793" s="8"/>
      <c r="R793" s="8"/>
      <c r="S793" s="8"/>
      <c r="T793" s="82"/>
    </row>
    <row r="794" spans="1:20" ht="13.5" customHeight="1" x14ac:dyDescent="0.25">
      <c r="A794" s="307">
        <v>5</v>
      </c>
      <c r="B794" s="307" t="s">
        <v>142</v>
      </c>
      <c r="C794" s="262" t="s">
        <v>226</v>
      </c>
      <c r="D794" s="309">
        <v>0.63194444444444442</v>
      </c>
      <c r="E794" s="263" t="s">
        <v>58</v>
      </c>
      <c r="F794" s="311">
        <v>0.71527777777777779</v>
      </c>
      <c r="G794" s="313"/>
      <c r="H794" s="315">
        <v>32</v>
      </c>
      <c r="I794" s="8"/>
      <c r="J794" s="8"/>
      <c r="K794" s="8"/>
      <c r="L794" s="8"/>
      <c r="M794" s="8"/>
      <c r="N794" s="8"/>
      <c r="O794" s="8"/>
      <c r="P794" s="8"/>
      <c r="Q794" s="8"/>
      <c r="R794" s="8"/>
      <c r="S794" s="8"/>
      <c r="T794" s="82"/>
    </row>
    <row r="795" spans="1:20" ht="13.5" customHeight="1" x14ac:dyDescent="0.25">
      <c r="A795" s="308"/>
      <c r="B795" s="308"/>
      <c r="C795" s="171" t="str">
        <f>IFERROR(VLOOKUP(C794,Списки!$E:$F,2,0)," ")</f>
        <v>VOLODARSKOGO ST 3</v>
      </c>
      <c r="D795" s="310"/>
      <c r="E795" s="172" t="str">
        <f>IFERROR(VLOOKUP(E794,Списки!$E:$F,2,0)," ")</f>
        <v>PIONERSKAYA ST 16</v>
      </c>
      <c r="F795" s="312"/>
      <c r="G795" s="314"/>
      <c r="H795" s="315"/>
      <c r="I795" s="8"/>
      <c r="J795" s="8"/>
      <c r="K795" s="8"/>
      <c r="L795" s="8"/>
      <c r="M795" s="8"/>
      <c r="N795" s="8"/>
      <c r="O795" s="8"/>
      <c r="P795" s="8"/>
      <c r="Q795" s="8"/>
      <c r="R795" s="8"/>
      <c r="S795" s="8"/>
      <c r="T795" s="82"/>
    </row>
    <row r="796" spans="1:20" ht="13.5" customHeight="1" x14ac:dyDescent="0.25">
      <c r="A796" s="307">
        <v>6</v>
      </c>
      <c r="B796" s="307"/>
      <c r="C796" s="263" t="s">
        <v>58</v>
      </c>
      <c r="D796" s="309">
        <v>0.71527777777777779</v>
      </c>
      <c r="E796" s="262" t="s">
        <v>409</v>
      </c>
      <c r="F796" s="311">
        <v>0.72569444444444453</v>
      </c>
      <c r="G796" s="313"/>
      <c r="H796" s="315">
        <v>3</v>
      </c>
      <c r="I796" s="8"/>
      <c r="J796" s="8"/>
      <c r="K796" s="8"/>
      <c r="L796" s="8"/>
      <c r="M796" s="8"/>
      <c r="N796" s="8"/>
      <c r="O796" s="8"/>
      <c r="P796" s="8"/>
      <c r="Q796" s="8"/>
      <c r="R796" s="8"/>
      <c r="S796" s="8"/>
      <c r="T796" s="82"/>
    </row>
    <row r="797" spans="1:20" ht="13.5" customHeight="1" x14ac:dyDescent="0.25">
      <c r="A797" s="308"/>
      <c r="B797" s="308"/>
      <c r="C797" s="171" t="str">
        <f>IFERROR(VLOOKUP(C796,Списки!$E:$F,2,0)," ")</f>
        <v>PIONERSKAYA ST 16</v>
      </c>
      <c r="D797" s="310"/>
      <c r="E797" s="179" t="s">
        <v>408</v>
      </c>
      <c r="F797" s="312"/>
      <c r="G797" s="314"/>
      <c r="H797" s="315"/>
      <c r="I797" s="8"/>
      <c r="J797" s="8"/>
      <c r="K797" s="8"/>
      <c r="L797" s="8"/>
      <c r="M797" s="8"/>
      <c r="N797" s="8"/>
      <c r="O797" s="8"/>
      <c r="P797" s="8"/>
      <c r="Q797" s="8"/>
      <c r="R797" s="8"/>
      <c r="S797" s="8"/>
      <c r="T797" s="82"/>
    </row>
    <row r="798" spans="1:20" ht="13.5" customHeight="1" x14ac:dyDescent="0.25">
      <c r="A798" s="307">
        <v>7</v>
      </c>
      <c r="B798" s="307"/>
      <c r="C798" s="262" t="s">
        <v>409</v>
      </c>
      <c r="D798" s="309">
        <v>0.72569444444444453</v>
      </c>
      <c r="E798" s="262" t="s">
        <v>45</v>
      </c>
      <c r="F798" s="311">
        <v>0.76388888888888884</v>
      </c>
      <c r="G798" s="313"/>
      <c r="H798" s="315">
        <v>14</v>
      </c>
      <c r="I798" s="8"/>
      <c r="J798" s="8"/>
      <c r="K798" s="8"/>
      <c r="L798" s="8"/>
      <c r="M798" s="8"/>
      <c r="N798" s="8"/>
      <c r="O798" s="8"/>
      <c r="P798" s="8"/>
      <c r="Q798" s="8"/>
      <c r="R798" s="8"/>
      <c r="S798" s="8"/>
      <c r="T798" s="82"/>
    </row>
    <row r="799" spans="1:20" ht="13.5" customHeight="1" x14ac:dyDescent="0.25">
      <c r="A799" s="308"/>
      <c r="B799" s="308"/>
      <c r="C799" s="179" t="s">
        <v>408</v>
      </c>
      <c r="D799" s="310"/>
      <c r="E799" s="171" t="str">
        <f>IFERROR(VLOOKUP(E798,Списки!$E:$F,2,0)," ")</f>
        <v>SAVUSHKINA ST 128</v>
      </c>
      <c r="F799" s="312"/>
      <c r="G799" s="314"/>
      <c r="H799" s="315"/>
      <c r="I799" s="8"/>
      <c r="J799" s="8"/>
      <c r="K799" s="8"/>
      <c r="L799" s="8"/>
      <c r="M799" s="8"/>
      <c r="N799" s="8"/>
      <c r="O799" s="8"/>
      <c r="P799" s="8"/>
      <c r="Q799" s="8"/>
      <c r="R799" s="8"/>
      <c r="S799" s="8"/>
      <c r="T799" s="82"/>
    </row>
    <row r="800" spans="1:20" ht="13.5" customHeight="1" x14ac:dyDescent="0.25">
      <c r="A800" s="307">
        <v>8</v>
      </c>
      <c r="B800" s="307"/>
      <c r="C800" s="170"/>
      <c r="D800" s="309"/>
      <c r="E800" s="170"/>
      <c r="F800" s="311"/>
      <c r="G800" s="313"/>
      <c r="H800" s="315"/>
      <c r="I800" s="8"/>
      <c r="J800" s="8"/>
      <c r="K800" s="8"/>
      <c r="L800" s="8"/>
      <c r="M800" s="8"/>
      <c r="N800" s="8"/>
      <c r="O800" s="8"/>
      <c r="P800" s="8"/>
      <c r="Q800" s="8"/>
      <c r="R800" s="8"/>
      <c r="S800" s="8"/>
      <c r="T800" s="82"/>
    </row>
    <row r="801" spans="1:20" ht="13.5" customHeight="1" x14ac:dyDescent="0.25">
      <c r="A801" s="308"/>
      <c r="B801" s="308"/>
      <c r="C801" s="179" t="str">
        <f>IFERROR(VLOOKUP(C800,Списки!$E:$F,2,0)," ")</f>
        <v xml:space="preserve"> </v>
      </c>
      <c r="D801" s="310"/>
      <c r="E801" s="171" t="str">
        <f>IFERROR(VLOOKUP(E800,Списки!$E:$F,2,0)," ")</f>
        <v xml:space="preserve"> </v>
      </c>
      <c r="F801" s="312"/>
      <c r="G801" s="314"/>
      <c r="H801" s="315"/>
      <c r="I801" s="8"/>
      <c r="J801" s="8"/>
      <c r="K801" s="8"/>
      <c r="L801" s="8"/>
      <c r="M801" s="8"/>
      <c r="N801" s="8"/>
      <c r="O801" s="8"/>
      <c r="P801" s="8"/>
      <c r="Q801" s="8"/>
      <c r="R801" s="8"/>
      <c r="S801" s="8"/>
      <c r="T801" s="82"/>
    </row>
    <row r="802" spans="1:20" ht="13.5" customHeight="1" x14ac:dyDescent="0.25">
      <c r="A802" s="307">
        <v>9</v>
      </c>
      <c r="B802" s="307"/>
      <c r="C802" s="170"/>
      <c r="D802" s="309"/>
      <c r="E802" s="170"/>
      <c r="F802" s="311"/>
      <c r="G802" s="313"/>
      <c r="H802" s="315"/>
      <c r="I802" s="8"/>
      <c r="J802" s="8"/>
      <c r="K802" s="8"/>
      <c r="L802" s="8"/>
      <c r="M802" s="8"/>
      <c r="N802" s="8"/>
      <c r="O802" s="8"/>
      <c r="P802" s="8"/>
      <c r="Q802" s="8"/>
      <c r="R802" s="8"/>
      <c r="S802" s="8"/>
      <c r="T802" s="82"/>
    </row>
    <row r="803" spans="1:20" ht="13.5" customHeight="1" x14ac:dyDescent="0.25">
      <c r="A803" s="308"/>
      <c r="B803" s="308"/>
      <c r="C803" s="171" t="str">
        <f>IFERROR(VLOOKUP(C802,Списки!$E:$F,2,0)," ")</f>
        <v xml:space="preserve"> </v>
      </c>
      <c r="D803" s="310"/>
      <c r="E803" s="171" t="str">
        <f>IFERROR(VLOOKUP(E802,Списки!$E:$F,2,0)," ")</f>
        <v xml:space="preserve"> </v>
      </c>
      <c r="F803" s="312"/>
      <c r="G803" s="314"/>
      <c r="H803" s="315"/>
      <c r="I803" s="8"/>
      <c r="J803" s="8"/>
      <c r="K803" s="8"/>
      <c r="L803" s="8"/>
      <c r="M803" s="8"/>
      <c r="N803" s="8"/>
      <c r="O803" s="8"/>
      <c r="P803" s="8"/>
      <c r="Q803" s="8"/>
      <c r="R803" s="8"/>
      <c r="S803" s="8"/>
      <c r="T803" s="82"/>
    </row>
    <row r="804" spans="1:20" ht="13.5" customHeight="1" x14ac:dyDescent="0.25">
      <c r="A804" s="307">
        <v>10</v>
      </c>
      <c r="B804" s="307"/>
      <c r="C804" s="170"/>
      <c r="D804" s="309"/>
      <c r="E804" s="170"/>
      <c r="F804" s="311"/>
      <c r="G804" s="313"/>
      <c r="H804" s="315"/>
      <c r="I804" s="8"/>
      <c r="J804" s="8"/>
      <c r="K804" s="8"/>
      <c r="L804" s="8"/>
      <c r="M804" s="8"/>
      <c r="N804" s="8"/>
      <c r="O804" s="8"/>
      <c r="P804" s="8"/>
      <c r="Q804" s="8"/>
      <c r="R804" s="8"/>
      <c r="S804" s="8"/>
      <c r="T804" s="82"/>
    </row>
    <row r="805" spans="1:20" ht="13.5" customHeight="1" x14ac:dyDescent="0.25">
      <c r="A805" s="308"/>
      <c r="B805" s="308"/>
      <c r="C805" s="171" t="str">
        <f>IFERROR(VLOOKUP(C804,Списки!$E:$F,2,0)," ")</f>
        <v xml:space="preserve"> </v>
      </c>
      <c r="D805" s="310"/>
      <c r="E805" s="171" t="str">
        <f>IFERROR(VLOOKUP(E804,Списки!$E:$F,2,0)," ")</f>
        <v xml:space="preserve"> </v>
      </c>
      <c r="F805" s="312"/>
      <c r="G805" s="314"/>
      <c r="H805" s="315"/>
      <c r="I805" s="8"/>
      <c r="J805" s="8"/>
      <c r="K805" s="8"/>
      <c r="L805" s="8"/>
      <c r="M805" s="8"/>
      <c r="N805" s="8"/>
      <c r="O805" s="8"/>
      <c r="P805" s="8"/>
      <c r="Q805" s="8"/>
      <c r="R805" s="8"/>
      <c r="S805" s="8"/>
      <c r="T805" s="82"/>
    </row>
    <row r="806" spans="1:20" ht="13.5" customHeight="1" x14ac:dyDescent="0.25">
      <c r="A806" s="307">
        <v>11</v>
      </c>
      <c r="B806" s="307"/>
      <c r="C806" s="170"/>
      <c r="D806" s="309"/>
      <c r="E806" s="170"/>
      <c r="F806" s="311"/>
      <c r="G806" s="313"/>
      <c r="H806" s="315"/>
      <c r="I806" s="8"/>
      <c r="J806" s="8"/>
      <c r="K806" s="8"/>
      <c r="L806" s="8"/>
      <c r="M806" s="8"/>
      <c r="N806" s="8"/>
      <c r="O806" s="8"/>
      <c r="P806" s="8"/>
      <c r="Q806" s="8"/>
      <c r="R806" s="8"/>
      <c r="S806" s="8"/>
      <c r="T806" s="82"/>
    </row>
    <row r="807" spans="1:20" ht="13.5" customHeight="1" x14ac:dyDescent="0.25">
      <c r="A807" s="308"/>
      <c r="B807" s="308"/>
      <c r="C807" s="171" t="str">
        <f>IFERROR(VLOOKUP(C806,Списки!$E:$F,2,0)," ")</f>
        <v xml:space="preserve"> </v>
      </c>
      <c r="D807" s="310"/>
      <c r="E807" s="171" t="str">
        <f>IFERROR(VLOOKUP(E806,Списки!$E:$F,2,0)," ")</f>
        <v xml:space="preserve"> </v>
      </c>
      <c r="F807" s="312"/>
      <c r="G807" s="314"/>
      <c r="H807" s="315"/>
      <c r="I807" s="8"/>
      <c r="J807" s="8"/>
      <c r="K807" s="8"/>
      <c r="L807" s="8"/>
      <c r="M807" s="8"/>
      <c r="N807" s="8"/>
      <c r="O807" s="8"/>
      <c r="P807" s="8"/>
      <c r="Q807" s="8"/>
      <c r="R807" s="8"/>
      <c r="S807" s="8"/>
      <c r="T807" s="82"/>
    </row>
    <row r="808" spans="1:20" ht="13.5" customHeight="1" x14ac:dyDescent="0.25">
      <c r="A808" s="307">
        <v>12</v>
      </c>
      <c r="B808" s="307"/>
      <c r="C808" s="170"/>
      <c r="D808" s="309"/>
      <c r="E808" s="170"/>
      <c r="F808" s="311"/>
      <c r="G808" s="313"/>
      <c r="H808" s="315"/>
      <c r="I808" s="8"/>
      <c r="J808" s="8"/>
      <c r="K808" s="8"/>
      <c r="L808" s="8"/>
      <c r="M808" s="8"/>
      <c r="N808" s="8"/>
      <c r="O808" s="8"/>
      <c r="P808" s="8"/>
      <c r="Q808" s="8"/>
      <c r="R808" s="8"/>
      <c r="S808" s="8"/>
      <c r="T808" s="82"/>
    </row>
    <row r="809" spans="1:20" ht="13.5" customHeight="1" x14ac:dyDescent="0.25">
      <c r="A809" s="308"/>
      <c r="B809" s="308"/>
      <c r="C809" s="171" t="str">
        <f>IFERROR(VLOOKUP(C808,Списки!$E:$F,2,0)," ")</f>
        <v xml:space="preserve"> </v>
      </c>
      <c r="D809" s="310"/>
      <c r="E809" s="171" t="str">
        <f>IFERROR(VLOOKUP(E808,Списки!$E:$F,2,0)," ")</f>
        <v xml:space="preserve"> </v>
      </c>
      <c r="F809" s="312"/>
      <c r="G809" s="314"/>
      <c r="H809" s="315"/>
      <c r="I809" s="8"/>
      <c r="J809" s="8"/>
      <c r="K809" s="8"/>
      <c r="L809" s="8"/>
      <c r="M809" s="8"/>
      <c r="N809" s="8"/>
      <c r="O809" s="8"/>
      <c r="P809" s="8"/>
      <c r="Q809" s="8"/>
      <c r="R809" s="8"/>
      <c r="S809" s="8"/>
      <c r="T809" s="82"/>
    </row>
    <row r="810" spans="1:20" ht="13.5" customHeight="1" x14ac:dyDescent="0.25">
      <c r="A810" s="307">
        <v>13</v>
      </c>
      <c r="B810" s="307"/>
      <c r="C810" s="170"/>
      <c r="D810" s="309"/>
      <c r="E810" s="170"/>
      <c r="F810" s="311"/>
      <c r="G810" s="313"/>
      <c r="H810" s="315"/>
      <c r="I810" s="8"/>
      <c r="J810" s="8"/>
      <c r="K810" s="8"/>
      <c r="L810" s="8"/>
      <c r="M810" s="8"/>
      <c r="N810" s="8"/>
      <c r="O810" s="8"/>
      <c r="P810" s="8"/>
      <c r="Q810" s="8"/>
      <c r="R810" s="8"/>
      <c r="S810" s="8"/>
      <c r="T810" s="82"/>
    </row>
    <row r="811" spans="1:20" ht="13.5" customHeight="1" x14ac:dyDescent="0.25">
      <c r="A811" s="308"/>
      <c r="B811" s="308"/>
      <c r="C811" s="171" t="str">
        <f>IFERROR(VLOOKUP(C810,Списки!$E:$F,2,0)," ")</f>
        <v xml:space="preserve"> </v>
      </c>
      <c r="D811" s="310"/>
      <c r="E811" s="171" t="str">
        <f>IFERROR(VLOOKUP(E810,Списки!$E:$F,2,0)," ")</f>
        <v xml:space="preserve"> </v>
      </c>
      <c r="F811" s="312"/>
      <c r="G811" s="314"/>
      <c r="H811" s="315"/>
      <c r="I811" s="8"/>
      <c r="J811" s="8"/>
      <c r="K811" s="8"/>
      <c r="L811" s="8"/>
      <c r="M811" s="8"/>
      <c r="N811" s="8"/>
      <c r="O811" s="8"/>
      <c r="P811" s="8"/>
      <c r="Q811" s="8"/>
      <c r="R811" s="8"/>
      <c r="S811" s="8"/>
      <c r="T811" s="82"/>
    </row>
    <row r="812" spans="1:20" ht="13.5" customHeight="1" x14ac:dyDescent="0.25">
      <c r="A812" s="307">
        <v>14</v>
      </c>
      <c r="B812" s="307"/>
      <c r="C812" s="170"/>
      <c r="D812" s="309"/>
      <c r="E812" s="170"/>
      <c r="F812" s="311"/>
      <c r="G812" s="313"/>
      <c r="H812" s="315"/>
      <c r="I812" s="8"/>
      <c r="J812" s="8"/>
      <c r="K812" s="8"/>
      <c r="L812" s="8"/>
      <c r="M812" s="8"/>
      <c r="N812" s="8"/>
      <c r="O812" s="8"/>
      <c r="P812" s="8"/>
      <c r="Q812" s="8"/>
      <c r="R812" s="8"/>
      <c r="S812" s="8"/>
      <c r="T812" s="82"/>
    </row>
    <row r="813" spans="1:20" ht="13.5" customHeight="1" x14ac:dyDescent="0.25">
      <c r="A813" s="308"/>
      <c r="B813" s="308"/>
      <c r="C813" s="171" t="str">
        <f>IFERROR(VLOOKUP(C812,Списки!$E:$F,2,0)," ")</f>
        <v xml:space="preserve"> </v>
      </c>
      <c r="D813" s="310"/>
      <c r="E813" s="171" t="str">
        <f>IFERROR(VLOOKUP(E812,Списки!$E:$F,2,0)," ")</f>
        <v xml:space="preserve"> </v>
      </c>
      <c r="F813" s="312"/>
      <c r="G813" s="314"/>
      <c r="H813" s="315"/>
      <c r="I813" s="8"/>
      <c r="J813" s="8"/>
      <c r="K813" s="8"/>
      <c r="L813" s="8"/>
      <c r="M813" s="8"/>
      <c r="N813" s="8"/>
      <c r="O813" s="8"/>
      <c r="P813" s="8"/>
      <c r="Q813" s="8"/>
      <c r="R813" s="8"/>
      <c r="S813" s="8"/>
      <c r="T813" s="82"/>
    </row>
    <row r="814" spans="1:20" ht="13.5" customHeight="1" x14ac:dyDescent="0.25">
      <c r="A814" s="307">
        <v>15</v>
      </c>
      <c r="B814" s="307"/>
      <c r="C814" s="170"/>
      <c r="D814" s="309"/>
      <c r="E814" s="170"/>
      <c r="F814" s="311"/>
      <c r="G814" s="313"/>
      <c r="H814" s="315"/>
      <c r="I814" s="8"/>
      <c r="J814" s="8"/>
      <c r="K814" s="8"/>
      <c r="L814" s="8"/>
      <c r="M814" s="8"/>
      <c r="N814" s="8"/>
      <c r="O814" s="8"/>
      <c r="P814" s="8"/>
      <c r="Q814" s="8"/>
      <c r="R814" s="8"/>
      <c r="S814" s="8"/>
      <c r="T814" s="82"/>
    </row>
    <row r="815" spans="1:20" ht="13.5" customHeight="1" x14ac:dyDescent="0.25">
      <c r="A815" s="308"/>
      <c r="B815" s="308"/>
      <c r="C815" s="171" t="str">
        <f>IFERROR(VLOOKUP(C814,Списки!$E:$F,2,0)," ")</f>
        <v xml:space="preserve"> </v>
      </c>
      <c r="D815" s="310"/>
      <c r="E815" s="171" t="str">
        <f>IFERROR(VLOOKUP(E814,Списки!$E:$F,2,0)," ")</f>
        <v xml:space="preserve"> </v>
      </c>
      <c r="F815" s="312"/>
      <c r="G815" s="314"/>
      <c r="H815" s="315"/>
      <c r="I815" s="8"/>
      <c r="J815" s="8"/>
      <c r="K815" s="8"/>
      <c r="L815" s="8"/>
      <c r="M815" s="8"/>
      <c r="N815" s="8"/>
      <c r="O815" s="8"/>
      <c r="P815" s="8"/>
      <c r="Q815" s="8"/>
      <c r="R815" s="8"/>
      <c r="S815" s="8"/>
      <c r="T815" s="82"/>
    </row>
    <row r="816" spans="1:20" x14ac:dyDescent="0.25">
      <c r="A816" s="36"/>
      <c r="B816" s="37"/>
      <c r="C816" s="173"/>
      <c r="D816" s="173"/>
      <c r="E816" s="174" t="s">
        <v>30</v>
      </c>
      <c r="F816" s="39">
        <f>IFERROR(SUM(IFERROR(IF((LOOKUP(9E+307,F786:F815))&gt;$M$39,(LOOKUP(9E+307,F786:F815))-$M$39,IF((LOOKUP(9E+307,F786:F815))&lt;0.166666667,0+(LOOKUP(9E+307,F786:F815))+1-$M$39,0)),0),(IF(AND(IF(D786,$M$38-D786,0)&gt;0,F786,F786&gt;D786),$M$38-D786,IF(AND(D786,F786,D786&gt;F786),"error",0)))),"ОШИБКА")</f>
        <v>5.5555555555555469E-2</v>
      </c>
      <c r="G816" s="40" t="s">
        <v>27</v>
      </c>
      <c r="H816" s="206">
        <f>SUM(H786:H815)</f>
        <v>82</v>
      </c>
      <c r="I816" s="8"/>
      <c r="J816" s="8"/>
      <c r="K816" s="8"/>
      <c r="L816" s="8"/>
      <c r="M816" s="8"/>
      <c r="N816" s="8"/>
      <c r="O816" s="8"/>
      <c r="P816" s="8"/>
      <c r="Q816" s="8"/>
      <c r="R816" s="8"/>
      <c r="S816" s="8"/>
      <c r="T816" s="82"/>
    </row>
    <row r="817" spans="1:20" ht="15.75" x14ac:dyDescent="0.25">
      <c r="A817" s="316">
        <f>DATE(K1,J1,25)</f>
        <v>43855</v>
      </c>
      <c r="B817" s="316"/>
      <c r="C817" s="316"/>
      <c r="D817" s="316"/>
      <c r="E817" s="316"/>
      <c r="F817" s="316"/>
      <c r="G817" s="316"/>
      <c r="H817" s="316"/>
      <c r="I817" s="8"/>
      <c r="J817" s="8"/>
      <c r="K817" s="8"/>
      <c r="L817" s="8"/>
      <c r="M817" s="8"/>
      <c r="N817" s="8"/>
      <c r="O817" s="8"/>
      <c r="P817" s="8"/>
      <c r="Q817" s="8"/>
      <c r="R817" s="8"/>
      <c r="S817" s="8"/>
      <c r="T817" s="82"/>
    </row>
    <row r="818" spans="1:20" ht="13.5" customHeight="1" x14ac:dyDescent="0.25">
      <c r="A818" s="318"/>
      <c r="B818" s="320" t="s">
        <v>34</v>
      </c>
      <c r="C818" s="205" t="s">
        <v>39</v>
      </c>
      <c r="D818" s="322" t="s">
        <v>36</v>
      </c>
      <c r="E818" s="205" t="s">
        <v>37</v>
      </c>
      <c r="F818" s="320" t="s">
        <v>36</v>
      </c>
      <c r="G818" s="324" t="s">
        <v>35</v>
      </c>
      <c r="H818" s="315" t="s">
        <v>40</v>
      </c>
      <c r="I818" s="8"/>
      <c r="J818" s="8"/>
      <c r="K818" s="8"/>
      <c r="L818" s="8"/>
      <c r="M818" s="8"/>
      <c r="N818" s="8"/>
      <c r="O818" s="8"/>
      <c r="P818" s="8"/>
      <c r="Q818" s="8"/>
      <c r="R818" s="8"/>
      <c r="S818" s="8"/>
      <c r="T818" s="82"/>
    </row>
    <row r="819" spans="1:20" ht="13.5" customHeight="1" x14ac:dyDescent="0.25">
      <c r="A819" s="319"/>
      <c r="B819" s="321"/>
      <c r="C819" s="204" t="s">
        <v>38</v>
      </c>
      <c r="D819" s="323"/>
      <c r="E819" s="204" t="s">
        <v>38</v>
      </c>
      <c r="F819" s="321"/>
      <c r="G819" s="325"/>
      <c r="H819" s="315"/>
      <c r="I819" s="8"/>
      <c r="J819" s="8"/>
      <c r="K819" s="8"/>
      <c r="L819" s="8"/>
      <c r="M819" s="8"/>
      <c r="N819" s="8"/>
      <c r="O819" s="8"/>
      <c r="P819" s="8"/>
      <c r="Q819" s="8"/>
      <c r="R819" s="8"/>
      <c r="S819" s="8"/>
      <c r="T819" s="82"/>
    </row>
    <row r="820" spans="1:20" ht="13.5" customHeight="1" x14ac:dyDescent="0.25">
      <c r="A820" s="307">
        <v>1</v>
      </c>
      <c r="B820" s="307"/>
      <c r="C820" s="170" t="s">
        <v>43</v>
      </c>
      <c r="D820" s="309"/>
      <c r="E820" s="170" t="s">
        <v>44</v>
      </c>
      <c r="F820" s="311"/>
      <c r="G820" s="313"/>
      <c r="H820" s="315"/>
      <c r="I820" s="8"/>
      <c r="J820" s="8"/>
      <c r="K820" s="8"/>
      <c r="L820" s="8"/>
      <c r="M820" s="8"/>
      <c r="N820" s="8"/>
      <c r="O820" s="8"/>
      <c r="P820" s="8"/>
      <c r="Q820" s="8"/>
      <c r="R820" s="8"/>
      <c r="S820" s="8"/>
      <c r="T820" s="82"/>
    </row>
    <row r="821" spans="1:20" ht="13.5" customHeight="1" x14ac:dyDescent="0.25">
      <c r="A821" s="308"/>
      <c r="B821" s="308"/>
      <c r="C821" s="171" t="str">
        <f>IFERROR(VLOOKUP(C820,Списки!$E:$F,2,0)," ")</f>
        <v>SAVUSHKINA ST 128</v>
      </c>
      <c r="D821" s="310"/>
      <c r="E821" s="171" t="str">
        <f>IFERROR(VLOOKUP(E820,Списки!$E:$F,2,0)," ")</f>
        <v>LEVASHOVSKOE HWY 20</v>
      </c>
      <c r="F821" s="312"/>
      <c r="G821" s="314"/>
      <c r="H821" s="315"/>
      <c r="I821" s="8"/>
      <c r="J821" s="8"/>
      <c r="K821" s="8"/>
      <c r="L821" s="8"/>
      <c r="M821" s="8"/>
      <c r="N821" s="8"/>
      <c r="O821" s="8"/>
      <c r="P821" s="8"/>
      <c r="Q821" s="8"/>
      <c r="R821" s="8"/>
      <c r="S821" s="8"/>
      <c r="T821" s="82"/>
    </row>
    <row r="822" spans="1:20" ht="13.5" customHeight="1" x14ac:dyDescent="0.25">
      <c r="A822" s="307">
        <v>2</v>
      </c>
      <c r="B822" s="307"/>
      <c r="C822" s="170" t="s">
        <v>44</v>
      </c>
      <c r="D822" s="309"/>
      <c r="E822" s="170"/>
      <c r="F822" s="311"/>
      <c r="G822" s="313"/>
      <c r="H822" s="315"/>
      <c r="I822" s="8"/>
      <c r="J822" s="8"/>
      <c r="K822" s="8"/>
      <c r="L822" s="8"/>
      <c r="M822" s="8"/>
      <c r="N822" s="8"/>
      <c r="O822" s="8"/>
      <c r="P822" s="8"/>
      <c r="Q822" s="8"/>
      <c r="R822" s="8"/>
      <c r="S822" s="8"/>
      <c r="T822" s="82"/>
    </row>
    <row r="823" spans="1:20" ht="13.5" customHeight="1" x14ac:dyDescent="0.25">
      <c r="A823" s="308"/>
      <c r="B823" s="308"/>
      <c r="C823" s="171" t="str">
        <f>IFERROR(VLOOKUP(C822,Списки!$E:$F,2,0)," ")</f>
        <v>LEVASHOVSKOE HWY 20</v>
      </c>
      <c r="D823" s="310"/>
      <c r="E823" s="171" t="str">
        <f>IFERROR(VLOOKUP(E822,Списки!$E:$F,2,0)," ")</f>
        <v xml:space="preserve"> </v>
      </c>
      <c r="F823" s="312"/>
      <c r="G823" s="314"/>
      <c r="H823" s="315"/>
      <c r="I823" s="8"/>
      <c r="J823" s="8"/>
      <c r="K823" s="8"/>
      <c r="L823" s="8"/>
      <c r="M823" s="8"/>
      <c r="N823" s="8"/>
      <c r="O823" s="8"/>
      <c r="P823" s="8"/>
      <c r="Q823" s="8"/>
      <c r="R823" s="8"/>
      <c r="S823" s="8"/>
      <c r="T823" s="82"/>
    </row>
    <row r="824" spans="1:20" ht="13.5" customHeight="1" x14ac:dyDescent="0.25">
      <c r="A824" s="307">
        <v>3</v>
      </c>
      <c r="B824" s="307"/>
      <c r="C824" s="170"/>
      <c r="D824" s="309"/>
      <c r="E824" s="170"/>
      <c r="F824" s="311"/>
      <c r="G824" s="313"/>
      <c r="H824" s="315"/>
      <c r="I824" s="8"/>
      <c r="J824" s="8"/>
      <c r="K824" s="8"/>
      <c r="L824" s="8"/>
      <c r="M824" s="8"/>
      <c r="N824" s="8"/>
      <c r="O824" s="8"/>
      <c r="P824" s="8"/>
      <c r="Q824" s="8"/>
      <c r="R824" s="8"/>
      <c r="S824" s="8"/>
      <c r="T824" s="82"/>
    </row>
    <row r="825" spans="1:20" ht="13.5" customHeight="1" x14ac:dyDescent="0.25">
      <c r="A825" s="308"/>
      <c r="B825" s="308"/>
      <c r="C825" s="171" t="str">
        <f>IFERROR(VLOOKUP(C824,Списки!$E:$F,2,0)," ")</f>
        <v xml:space="preserve"> </v>
      </c>
      <c r="D825" s="310"/>
      <c r="E825" s="171" t="str">
        <f>IFERROR(VLOOKUP(E824,Списки!$E:$F,2,0)," ")</f>
        <v xml:space="preserve"> </v>
      </c>
      <c r="F825" s="312"/>
      <c r="G825" s="314"/>
      <c r="H825" s="315"/>
      <c r="I825" s="8"/>
      <c r="J825" s="8"/>
      <c r="K825" s="8"/>
      <c r="L825" s="8"/>
      <c r="M825" s="8"/>
      <c r="N825" s="8"/>
      <c r="O825" s="8"/>
      <c r="P825" s="8"/>
      <c r="Q825" s="8"/>
      <c r="R825" s="8"/>
      <c r="S825" s="8"/>
      <c r="T825" s="82"/>
    </row>
    <row r="826" spans="1:20" ht="13.5" customHeight="1" x14ac:dyDescent="0.25">
      <c r="A826" s="307">
        <v>4</v>
      </c>
      <c r="B826" s="307"/>
      <c r="C826" s="170"/>
      <c r="D826" s="309"/>
      <c r="E826" s="170"/>
      <c r="F826" s="311"/>
      <c r="G826" s="313"/>
      <c r="H826" s="315"/>
      <c r="I826" s="8"/>
      <c r="J826" s="8"/>
      <c r="K826" s="8"/>
      <c r="L826" s="8"/>
      <c r="M826" s="8"/>
      <c r="N826" s="8"/>
      <c r="O826" s="8"/>
      <c r="P826" s="8"/>
      <c r="Q826" s="8"/>
      <c r="R826" s="8"/>
      <c r="S826" s="8"/>
      <c r="T826" s="82"/>
    </row>
    <row r="827" spans="1:20" ht="13.5" customHeight="1" x14ac:dyDescent="0.25">
      <c r="A827" s="308"/>
      <c r="B827" s="308"/>
      <c r="C827" s="171" t="str">
        <f>IFERROR(VLOOKUP(C826,Списки!$E:$F,2,0)," ")</f>
        <v xml:space="preserve"> </v>
      </c>
      <c r="D827" s="310"/>
      <c r="E827" s="171" t="str">
        <f>IFERROR(VLOOKUP(E826,Списки!$E:$F,2,0)," ")</f>
        <v xml:space="preserve"> </v>
      </c>
      <c r="F827" s="312"/>
      <c r="G827" s="314"/>
      <c r="H827" s="315"/>
      <c r="I827" s="8"/>
      <c r="J827" s="8"/>
      <c r="K827" s="8"/>
      <c r="L827" s="8"/>
      <c r="M827" s="8"/>
      <c r="N827" s="8"/>
      <c r="O827" s="8"/>
      <c r="P827" s="8"/>
      <c r="Q827" s="8"/>
      <c r="R827" s="8"/>
      <c r="S827" s="8"/>
      <c r="T827" s="82"/>
    </row>
    <row r="828" spans="1:20" ht="13.5" customHeight="1" x14ac:dyDescent="0.25">
      <c r="A828" s="307">
        <v>5</v>
      </c>
      <c r="B828" s="307"/>
      <c r="C828" s="170"/>
      <c r="D828" s="309"/>
      <c r="E828" s="172"/>
      <c r="F828" s="311"/>
      <c r="G828" s="313"/>
      <c r="H828" s="315"/>
      <c r="I828" s="8"/>
      <c r="J828" s="8"/>
      <c r="K828" s="8"/>
      <c r="L828" s="8"/>
      <c r="M828" s="8"/>
      <c r="N828" s="8"/>
      <c r="O828" s="8"/>
      <c r="P828" s="8"/>
      <c r="Q828" s="8"/>
      <c r="R828" s="8"/>
      <c r="S828" s="8"/>
      <c r="T828" s="82"/>
    </row>
    <row r="829" spans="1:20" ht="13.5" customHeight="1" x14ac:dyDescent="0.25">
      <c r="A829" s="308"/>
      <c r="B829" s="308"/>
      <c r="C829" s="171" t="str">
        <f>IFERROR(VLOOKUP(C828,Списки!$E:$F,2,0)," ")</f>
        <v xml:space="preserve"> </v>
      </c>
      <c r="D829" s="310"/>
      <c r="E829" s="172" t="str">
        <f>IFERROR(VLOOKUP(E828,Списки!$E:$F,2,0)," ")</f>
        <v xml:space="preserve"> </v>
      </c>
      <c r="F829" s="312"/>
      <c r="G829" s="314"/>
      <c r="H829" s="315"/>
      <c r="I829" s="8"/>
      <c r="J829" s="8"/>
      <c r="K829" s="8"/>
      <c r="L829" s="8"/>
      <c r="M829" s="8"/>
      <c r="N829" s="8"/>
      <c r="O829" s="8"/>
      <c r="P829" s="8"/>
      <c r="Q829" s="8"/>
      <c r="R829" s="8"/>
      <c r="S829" s="8"/>
      <c r="T829" s="82"/>
    </row>
    <row r="830" spans="1:20" ht="13.5" customHeight="1" x14ac:dyDescent="0.25">
      <c r="A830" s="307">
        <v>6</v>
      </c>
      <c r="B830" s="307"/>
      <c r="C830" s="170"/>
      <c r="D830" s="309"/>
      <c r="E830" s="170"/>
      <c r="F830" s="311"/>
      <c r="G830" s="313"/>
      <c r="H830" s="315"/>
      <c r="I830" s="8"/>
      <c r="J830" s="8"/>
      <c r="K830" s="8"/>
      <c r="L830" s="8"/>
      <c r="M830" s="8"/>
      <c r="N830" s="8"/>
      <c r="O830" s="8"/>
      <c r="P830" s="8"/>
      <c r="Q830" s="8"/>
      <c r="R830" s="8"/>
      <c r="S830" s="8"/>
      <c r="T830" s="82"/>
    </row>
    <row r="831" spans="1:20" ht="13.5" customHeight="1" x14ac:dyDescent="0.25">
      <c r="A831" s="308"/>
      <c r="B831" s="308"/>
      <c r="C831" s="171" t="str">
        <f>IFERROR(VLOOKUP(C830,Списки!$E:$F,2,0)," ")</f>
        <v xml:space="preserve"> </v>
      </c>
      <c r="D831" s="310"/>
      <c r="E831" s="179" t="str">
        <f>IFERROR(VLOOKUP(E830,Списки!$E:$F,2,0)," ")</f>
        <v xml:space="preserve"> </v>
      </c>
      <c r="F831" s="312"/>
      <c r="G831" s="314"/>
      <c r="H831" s="315"/>
      <c r="I831" s="8"/>
      <c r="J831" s="8"/>
      <c r="K831" s="8"/>
      <c r="L831" s="8"/>
      <c r="M831" s="8"/>
      <c r="N831" s="8"/>
      <c r="O831" s="8"/>
      <c r="P831" s="8"/>
      <c r="Q831" s="8"/>
      <c r="R831" s="8"/>
      <c r="S831" s="8"/>
      <c r="T831" s="82"/>
    </row>
    <row r="832" spans="1:20" ht="13.5" customHeight="1" x14ac:dyDescent="0.25">
      <c r="A832" s="307">
        <v>7</v>
      </c>
      <c r="B832" s="307"/>
      <c r="C832" s="170"/>
      <c r="D832" s="309"/>
      <c r="E832" s="170"/>
      <c r="F832" s="311"/>
      <c r="G832" s="313"/>
      <c r="H832" s="315"/>
      <c r="I832" s="8"/>
      <c r="J832" s="8"/>
      <c r="K832" s="8"/>
      <c r="L832" s="8"/>
      <c r="M832" s="8"/>
      <c r="N832" s="8"/>
      <c r="O832" s="8"/>
      <c r="P832" s="8"/>
      <c r="Q832" s="8"/>
      <c r="R832" s="8"/>
      <c r="S832" s="8"/>
      <c r="T832" s="82"/>
    </row>
    <row r="833" spans="1:20" ht="13.5" customHeight="1" x14ac:dyDescent="0.25">
      <c r="A833" s="308"/>
      <c r="B833" s="308"/>
      <c r="C833" s="179" t="str">
        <f>IFERROR(VLOOKUP(C832,Списки!$E:$F,2,0)," ")</f>
        <v xml:space="preserve"> </v>
      </c>
      <c r="D833" s="310"/>
      <c r="E833" s="171" t="str">
        <f>IFERROR(VLOOKUP(E832,Списки!$E:$F,2,0)," ")</f>
        <v xml:space="preserve"> </v>
      </c>
      <c r="F833" s="312"/>
      <c r="G833" s="314"/>
      <c r="H833" s="315"/>
      <c r="I833" s="8"/>
      <c r="J833" s="8"/>
      <c r="K833" s="8"/>
      <c r="L833" s="8"/>
      <c r="M833" s="8"/>
      <c r="N833" s="8"/>
      <c r="O833" s="8"/>
      <c r="P833" s="8"/>
      <c r="Q833" s="8"/>
      <c r="R833" s="8"/>
      <c r="S833" s="8"/>
      <c r="T833" s="82"/>
    </row>
    <row r="834" spans="1:20" ht="13.5" customHeight="1" x14ac:dyDescent="0.25">
      <c r="A834" s="307">
        <v>8</v>
      </c>
      <c r="B834" s="307"/>
      <c r="C834" s="170"/>
      <c r="D834" s="309"/>
      <c r="E834" s="170"/>
      <c r="F834" s="311"/>
      <c r="G834" s="313"/>
      <c r="H834" s="315"/>
      <c r="I834" s="8"/>
      <c r="J834" s="8"/>
      <c r="K834" s="8"/>
      <c r="L834" s="8"/>
      <c r="M834" s="8"/>
      <c r="N834" s="8"/>
      <c r="O834" s="8"/>
      <c r="P834" s="8"/>
      <c r="Q834" s="8"/>
      <c r="R834" s="8"/>
      <c r="S834" s="8"/>
      <c r="T834" s="82"/>
    </row>
    <row r="835" spans="1:20" ht="13.5" customHeight="1" x14ac:dyDescent="0.25">
      <c r="A835" s="308"/>
      <c r="B835" s="308"/>
      <c r="C835" s="179" t="str">
        <f>IFERROR(VLOOKUP(C834,Списки!$E:$F,2,0)," ")</f>
        <v xml:space="preserve"> </v>
      </c>
      <c r="D835" s="310"/>
      <c r="E835" s="171" t="str">
        <f>IFERROR(VLOOKUP(E834,Списки!$E:$F,2,0)," ")</f>
        <v xml:space="preserve"> </v>
      </c>
      <c r="F835" s="312"/>
      <c r="G835" s="314"/>
      <c r="H835" s="315"/>
      <c r="I835" s="8"/>
      <c r="J835" s="8"/>
      <c r="K835" s="8"/>
      <c r="L835" s="8"/>
      <c r="M835" s="8"/>
      <c r="N835" s="8"/>
      <c r="O835" s="8"/>
      <c r="P835" s="8"/>
      <c r="Q835" s="8"/>
      <c r="R835" s="8"/>
      <c r="S835" s="8"/>
      <c r="T835" s="82"/>
    </row>
    <row r="836" spans="1:20" ht="13.5" customHeight="1" x14ac:dyDescent="0.25">
      <c r="A836" s="307">
        <v>9</v>
      </c>
      <c r="B836" s="307"/>
      <c r="C836" s="170"/>
      <c r="D836" s="309"/>
      <c r="E836" s="170"/>
      <c r="F836" s="311"/>
      <c r="G836" s="313"/>
      <c r="H836" s="315"/>
      <c r="I836" s="8"/>
      <c r="J836" s="8"/>
      <c r="K836" s="8"/>
      <c r="L836" s="8"/>
      <c r="M836" s="8"/>
      <c r="N836" s="8"/>
      <c r="O836" s="8"/>
      <c r="P836" s="8"/>
      <c r="Q836" s="8"/>
      <c r="R836" s="8"/>
      <c r="S836" s="8"/>
      <c r="T836" s="82"/>
    </row>
    <row r="837" spans="1:20" ht="13.5" customHeight="1" x14ac:dyDescent="0.25">
      <c r="A837" s="308"/>
      <c r="B837" s="308"/>
      <c r="C837" s="171" t="str">
        <f>IFERROR(VLOOKUP(C836,Списки!$E:$F,2,0)," ")</f>
        <v xml:space="preserve"> </v>
      </c>
      <c r="D837" s="310"/>
      <c r="E837" s="171" t="str">
        <f>IFERROR(VLOOKUP(E836,Списки!$E:$F,2,0)," ")</f>
        <v xml:space="preserve"> </v>
      </c>
      <c r="F837" s="312"/>
      <c r="G837" s="314"/>
      <c r="H837" s="315"/>
      <c r="I837" s="8"/>
      <c r="J837" s="8"/>
      <c r="K837" s="8"/>
      <c r="L837" s="8"/>
      <c r="M837" s="8"/>
      <c r="N837" s="8"/>
      <c r="O837" s="8"/>
      <c r="P837" s="8"/>
      <c r="Q837" s="8"/>
      <c r="R837" s="8"/>
      <c r="S837" s="8"/>
      <c r="T837" s="82"/>
    </row>
    <row r="838" spans="1:20" ht="13.5" customHeight="1" x14ac:dyDescent="0.25">
      <c r="A838" s="307">
        <v>10</v>
      </c>
      <c r="B838" s="307"/>
      <c r="C838" s="170"/>
      <c r="D838" s="309"/>
      <c r="E838" s="170"/>
      <c r="F838" s="311"/>
      <c r="G838" s="313"/>
      <c r="H838" s="315"/>
      <c r="I838" s="8"/>
      <c r="J838" s="8"/>
      <c r="K838" s="8"/>
      <c r="L838" s="8"/>
      <c r="M838" s="8"/>
      <c r="N838" s="8"/>
      <c r="O838" s="8"/>
      <c r="P838" s="8"/>
      <c r="Q838" s="8"/>
      <c r="R838" s="8"/>
      <c r="S838" s="8"/>
      <c r="T838" s="82"/>
    </row>
    <row r="839" spans="1:20" ht="13.5" customHeight="1" x14ac:dyDescent="0.25">
      <c r="A839" s="308"/>
      <c r="B839" s="308"/>
      <c r="C839" s="171" t="str">
        <f>IFERROR(VLOOKUP(C838,Списки!$E:$F,2,0)," ")</f>
        <v xml:space="preserve"> </v>
      </c>
      <c r="D839" s="310"/>
      <c r="E839" s="171" t="str">
        <f>IFERROR(VLOOKUP(E838,Списки!$E:$F,2,0)," ")</f>
        <v xml:space="preserve"> </v>
      </c>
      <c r="F839" s="312"/>
      <c r="G839" s="314"/>
      <c r="H839" s="315"/>
      <c r="I839" s="8"/>
      <c r="J839" s="8"/>
      <c r="K839" s="8"/>
      <c r="L839" s="8"/>
      <c r="M839" s="8"/>
      <c r="N839" s="8"/>
      <c r="O839" s="8"/>
      <c r="P839" s="8"/>
      <c r="Q839" s="8"/>
      <c r="R839" s="8"/>
      <c r="S839" s="8"/>
      <c r="T839" s="82"/>
    </row>
    <row r="840" spans="1:20" ht="13.5" customHeight="1" x14ac:dyDescent="0.25">
      <c r="A840" s="307">
        <v>11</v>
      </c>
      <c r="B840" s="307"/>
      <c r="C840" s="170"/>
      <c r="D840" s="309"/>
      <c r="E840" s="170"/>
      <c r="F840" s="311"/>
      <c r="G840" s="313"/>
      <c r="H840" s="315"/>
      <c r="I840" s="8"/>
      <c r="J840" s="8"/>
      <c r="K840" s="8"/>
      <c r="L840" s="8"/>
      <c r="M840" s="8"/>
      <c r="N840" s="8"/>
      <c r="O840" s="8"/>
      <c r="P840" s="8"/>
      <c r="Q840" s="8"/>
      <c r="R840" s="8"/>
      <c r="S840" s="8"/>
      <c r="T840" s="82"/>
    </row>
    <row r="841" spans="1:20" ht="13.5" customHeight="1" x14ac:dyDescent="0.25">
      <c r="A841" s="308"/>
      <c r="B841" s="308"/>
      <c r="C841" s="171" t="str">
        <f>IFERROR(VLOOKUP(C840,Списки!$E:$F,2,0)," ")</f>
        <v xml:space="preserve"> </v>
      </c>
      <c r="D841" s="310"/>
      <c r="E841" s="171" t="str">
        <f>IFERROR(VLOOKUP(E840,Списки!$E:$F,2,0)," ")</f>
        <v xml:space="preserve"> </v>
      </c>
      <c r="F841" s="312"/>
      <c r="G841" s="314"/>
      <c r="H841" s="315"/>
      <c r="I841" s="8"/>
      <c r="J841" s="8"/>
      <c r="K841" s="8"/>
      <c r="L841" s="8"/>
      <c r="M841" s="8"/>
      <c r="N841" s="8"/>
      <c r="O841" s="8"/>
      <c r="P841" s="8"/>
      <c r="Q841" s="8"/>
      <c r="R841" s="8"/>
      <c r="S841" s="8"/>
      <c r="T841" s="82"/>
    </row>
    <row r="842" spans="1:20" ht="13.5" customHeight="1" x14ac:dyDescent="0.25">
      <c r="A842" s="307">
        <v>12</v>
      </c>
      <c r="B842" s="307"/>
      <c r="C842" s="170"/>
      <c r="D842" s="309"/>
      <c r="E842" s="170"/>
      <c r="F842" s="311"/>
      <c r="G842" s="313"/>
      <c r="H842" s="315"/>
      <c r="I842" s="8"/>
      <c r="J842" s="8"/>
      <c r="K842" s="8"/>
      <c r="L842" s="8"/>
      <c r="M842" s="8"/>
      <c r="N842" s="8"/>
      <c r="O842" s="8"/>
      <c r="P842" s="8"/>
      <c r="Q842" s="8"/>
      <c r="R842" s="8"/>
      <c r="S842" s="8"/>
      <c r="T842" s="82"/>
    </row>
    <row r="843" spans="1:20" ht="13.5" customHeight="1" x14ac:dyDescent="0.25">
      <c r="A843" s="308"/>
      <c r="B843" s="308"/>
      <c r="C843" s="171" t="str">
        <f>IFERROR(VLOOKUP(C842,Списки!$E:$F,2,0)," ")</f>
        <v xml:space="preserve"> </v>
      </c>
      <c r="D843" s="310"/>
      <c r="E843" s="171" t="str">
        <f>IFERROR(VLOOKUP(E842,Списки!$E:$F,2,0)," ")</f>
        <v xml:space="preserve"> </v>
      </c>
      <c r="F843" s="312"/>
      <c r="G843" s="314"/>
      <c r="H843" s="315"/>
      <c r="I843" s="8"/>
      <c r="J843" s="8"/>
      <c r="K843" s="8"/>
      <c r="L843" s="8"/>
      <c r="M843" s="8"/>
      <c r="N843" s="8"/>
      <c r="O843" s="8"/>
      <c r="P843" s="8"/>
      <c r="Q843" s="8"/>
      <c r="R843" s="8"/>
      <c r="S843" s="8"/>
      <c r="T843" s="82"/>
    </row>
    <row r="844" spans="1:20" ht="13.5" customHeight="1" x14ac:dyDescent="0.25">
      <c r="A844" s="307">
        <v>13</v>
      </c>
      <c r="B844" s="307"/>
      <c r="C844" s="170"/>
      <c r="D844" s="309"/>
      <c r="E844" s="170"/>
      <c r="F844" s="311"/>
      <c r="G844" s="313"/>
      <c r="H844" s="315"/>
      <c r="I844" s="8"/>
      <c r="J844" s="8"/>
      <c r="K844" s="8"/>
      <c r="L844" s="8"/>
      <c r="M844" s="8"/>
      <c r="N844" s="8"/>
      <c r="O844" s="8"/>
      <c r="P844" s="8"/>
      <c r="Q844" s="8"/>
      <c r="R844" s="8"/>
      <c r="S844" s="8"/>
      <c r="T844" s="82"/>
    </row>
    <row r="845" spans="1:20" ht="13.5" customHeight="1" x14ac:dyDescent="0.25">
      <c r="A845" s="308"/>
      <c r="B845" s="308"/>
      <c r="C845" s="171" t="str">
        <f>IFERROR(VLOOKUP(C844,Списки!$E:$F,2,0)," ")</f>
        <v xml:space="preserve"> </v>
      </c>
      <c r="D845" s="310"/>
      <c r="E845" s="171" t="str">
        <f>IFERROR(VLOOKUP(E844,Списки!$E:$F,2,0)," ")</f>
        <v xml:space="preserve"> </v>
      </c>
      <c r="F845" s="312"/>
      <c r="G845" s="314"/>
      <c r="H845" s="315"/>
      <c r="I845" s="8"/>
      <c r="J845" s="8"/>
      <c r="K845" s="8"/>
      <c r="L845" s="8"/>
      <c r="M845" s="8"/>
      <c r="N845" s="8"/>
      <c r="O845" s="8"/>
      <c r="P845" s="8"/>
      <c r="Q845" s="8"/>
      <c r="R845" s="8"/>
      <c r="S845" s="8"/>
      <c r="T845" s="82"/>
    </row>
    <row r="846" spans="1:20" ht="13.5" customHeight="1" x14ac:dyDescent="0.25">
      <c r="A846" s="307">
        <v>14</v>
      </c>
      <c r="B846" s="307"/>
      <c r="C846" s="170"/>
      <c r="D846" s="309"/>
      <c r="E846" s="170"/>
      <c r="F846" s="311"/>
      <c r="G846" s="313"/>
      <c r="H846" s="315"/>
      <c r="I846" s="8"/>
      <c r="J846" s="8"/>
      <c r="K846" s="8"/>
      <c r="L846" s="8"/>
      <c r="M846" s="8"/>
      <c r="N846" s="8"/>
      <c r="O846" s="8"/>
      <c r="P846" s="8"/>
      <c r="Q846" s="8"/>
      <c r="R846" s="8"/>
      <c r="S846" s="8"/>
      <c r="T846" s="82"/>
    </row>
    <row r="847" spans="1:20" ht="13.5" customHeight="1" x14ac:dyDescent="0.25">
      <c r="A847" s="308"/>
      <c r="B847" s="308"/>
      <c r="C847" s="171" t="str">
        <f>IFERROR(VLOOKUP(C846,Списки!$E:$F,2,0)," ")</f>
        <v xml:space="preserve"> </v>
      </c>
      <c r="D847" s="310"/>
      <c r="E847" s="171" t="str">
        <f>IFERROR(VLOOKUP(E846,Списки!$E:$F,2,0)," ")</f>
        <v xml:space="preserve"> </v>
      </c>
      <c r="F847" s="312"/>
      <c r="G847" s="314"/>
      <c r="H847" s="315"/>
      <c r="I847" s="8"/>
      <c r="J847" s="8"/>
      <c r="K847" s="8"/>
      <c r="L847" s="8"/>
      <c r="M847" s="8"/>
      <c r="N847" s="8"/>
      <c r="O847" s="8"/>
      <c r="P847" s="8"/>
      <c r="Q847" s="8"/>
      <c r="R847" s="8"/>
      <c r="S847" s="8"/>
      <c r="T847" s="82"/>
    </row>
    <row r="848" spans="1:20" ht="13.5" customHeight="1" x14ac:dyDescent="0.25">
      <c r="A848" s="307">
        <v>15</v>
      </c>
      <c r="B848" s="307"/>
      <c r="C848" s="170"/>
      <c r="D848" s="309"/>
      <c r="E848" s="170"/>
      <c r="F848" s="311"/>
      <c r="G848" s="313"/>
      <c r="H848" s="315"/>
      <c r="I848" s="8"/>
      <c r="J848" s="8"/>
      <c r="K848" s="8"/>
      <c r="L848" s="8"/>
      <c r="M848" s="8"/>
      <c r="N848" s="8"/>
      <c r="O848" s="8"/>
      <c r="P848" s="8"/>
      <c r="Q848" s="8"/>
      <c r="R848" s="8"/>
      <c r="S848" s="8"/>
      <c r="T848" s="82"/>
    </row>
    <row r="849" spans="1:20" ht="13.5" customHeight="1" x14ac:dyDescent="0.25">
      <c r="A849" s="308"/>
      <c r="B849" s="308"/>
      <c r="C849" s="171" t="str">
        <f>IFERROR(VLOOKUP(C848,Списки!$E:$F,2,0)," ")</f>
        <v xml:space="preserve"> </v>
      </c>
      <c r="D849" s="310"/>
      <c r="E849" s="171" t="str">
        <f>IFERROR(VLOOKUP(E848,Списки!$E:$F,2,0)," ")</f>
        <v xml:space="preserve"> </v>
      </c>
      <c r="F849" s="312"/>
      <c r="G849" s="314"/>
      <c r="H849" s="315"/>
      <c r="I849" s="8"/>
      <c r="J849" s="8"/>
      <c r="K849" s="8"/>
      <c r="L849" s="8"/>
      <c r="M849" s="8"/>
      <c r="N849" s="8"/>
      <c r="O849" s="8"/>
      <c r="P849" s="8"/>
      <c r="Q849" s="8"/>
      <c r="R849" s="8"/>
      <c r="S849" s="8"/>
      <c r="T849" s="82"/>
    </row>
    <row r="850" spans="1:20" x14ac:dyDescent="0.25">
      <c r="A850" s="36"/>
      <c r="B850" s="37"/>
      <c r="C850" s="173"/>
      <c r="D850" s="173"/>
      <c r="E850" s="174" t="s">
        <v>30</v>
      </c>
      <c r="F850" s="39">
        <f>IFERROR(SUM(IFERROR(IF((LOOKUP(9E+307,F820:F849))&gt;$M$39,(LOOKUP(9E+307,F820:F849))-$M$39,IF((LOOKUP(9E+307,F820:F849))&lt;0.166666667,0+(LOOKUP(9E+307,F820:F849))+1-$M$39,0)),0),(IF(AND(IF(D820,$M$38-D820,0)&gt;0,F820,F820&gt;D820),$M$38-D820,IF(AND(D820,F820,D820&gt;F820),"error",0)))),"ОШИБКА")</f>
        <v>0</v>
      </c>
      <c r="G850" s="40" t="s">
        <v>27</v>
      </c>
      <c r="H850" s="206">
        <f>SUM(H820:H849)</f>
        <v>0</v>
      </c>
      <c r="I850" s="8"/>
      <c r="J850" s="8"/>
      <c r="K850" s="8"/>
      <c r="L850" s="8"/>
      <c r="M850" s="8"/>
      <c r="N850" s="8"/>
      <c r="O850" s="8"/>
      <c r="P850" s="8"/>
      <c r="Q850" s="8"/>
      <c r="R850" s="8"/>
      <c r="S850" s="8"/>
      <c r="T850" s="82"/>
    </row>
    <row r="851" spans="1:20" ht="15.75" x14ac:dyDescent="0.25">
      <c r="A851" s="316">
        <f>DATE(K1,J1,26)</f>
        <v>43856</v>
      </c>
      <c r="B851" s="316"/>
      <c r="C851" s="316"/>
      <c r="D851" s="316"/>
      <c r="E851" s="316"/>
      <c r="F851" s="316"/>
      <c r="G851" s="316"/>
      <c r="H851" s="316"/>
      <c r="I851" s="8"/>
      <c r="J851" s="8"/>
      <c r="K851" s="8"/>
      <c r="L851" s="8"/>
      <c r="M851" s="8"/>
      <c r="N851" s="8"/>
      <c r="O851" s="8"/>
      <c r="P851" s="8"/>
      <c r="Q851" s="8"/>
      <c r="R851" s="8"/>
      <c r="S851" s="8"/>
      <c r="T851" s="82"/>
    </row>
    <row r="852" spans="1:20" ht="13.5" customHeight="1" x14ac:dyDescent="0.25">
      <c r="A852" s="318"/>
      <c r="B852" s="320" t="s">
        <v>34</v>
      </c>
      <c r="C852" s="205" t="s">
        <v>39</v>
      </c>
      <c r="D852" s="322" t="s">
        <v>36</v>
      </c>
      <c r="E852" s="205" t="s">
        <v>37</v>
      </c>
      <c r="F852" s="320" t="s">
        <v>36</v>
      </c>
      <c r="G852" s="324" t="s">
        <v>35</v>
      </c>
      <c r="H852" s="315" t="s">
        <v>40</v>
      </c>
      <c r="I852" s="8"/>
      <c r="J852" s="8"/>
      <c r="K852" s="8"/>
      <c r="L852" s="8"/>
      <c r="M852" s="8"/>
      <c r="N852" s="8"/>
      <c r="O852" s="8"/>
      <c r="P852" s="8"/>
      <c r="Q852" s="8"/>
      <c r="R852" s="8"/>
      <c r="S852" s="8"/>
      <c r="T852" s="82"/>
    </row>
    <row r="853" spans="1:20" ht="13.5" customHeight="1" x14ac:dyDescent="0.25">
      <c r="A853" s="319"/>
      <c r="B853" s="321"/>
      <c r="C853" s="204" t="s">
        <v>38</v>
      </c>
      <c r="D853" s="323"/>
      <c r="E853" s="204" t="s">
        <v>38</v>
      </c>
      <c r="F853" s="321"/>
      <c r="G853" s="325"/>
      <c r="H853" s="315"/>
      <c r="I853" s="8"/>
      <c r="J853" s="8"/>
      <c r="K853" s="8"/>
      <c r="L853" s="8"/>
      <c r="M853" s="8"/>
      <c r="N853" s="8"/>
      <c r="O853" s="8"/>
      <c r="P853" s="8"/>
      <c r="Q853" s="8"/>
      <c r="R853" s="8"/>
      <c r="S853" s="8"/>
      <c r="T853" s="82"/>
    </row>
    <row r="854" spans="1:20" ht="13.5" customHeight="1" x14ac:dyDescent="0.25">
      <c r="A854" s="307">
        <v>1</v>
      </c>
      <c r="B854" s="307"/>
      <c r="C854" s="170" t="s">
        <v>43</v>
      </c>
      <c r="D854" s="309"/>
      <c r="E854" s="170" t="s">
        <v>44</v>
      </c>
      <c r="F854" s="311"/>
      <c r="G854" s="313"/>
      <c r="H854" s="315"/>
      <c r="I854" s="8"/>
      <c r="J854" s="8"/>
      <c r="K854" s="8"/>
      <c r="L854" s="8"/>
      <c r="M854" s="8"/>
      <c r="N854" s="8"/>
      <c r="O854" s="8"/>
      <c r="P854" s="8"/>
      <c r="Q854" s="8"/>
      <c r="R854" s="8"/>
      <c r="S854" s="8"/>
      <c r="T854" s="82"/>
    </row>
    <row r="855" spans="1:20" ht="13.5" customHeight="1" x14ac:dyDescent="0.25">
      <c r="A855" s="308"/>
      <c r="B855" s="308"/>
      <c r="C855" s="171" t="str">
        <f>IFERROR(VLOOKUP(C854,Списки!$E:$F,2,0)," ")</f>
        <v>SAVUSHKINA ST 128</v>
      </c>
      <c r="D855" s="310"/>
      <c r="E855" s="171" t="str">
        <f>IFERROR(VLOOKUP(E854,Списки!$E:$F,2,0)," ")</f>
        <v>LEVASHOVSKOE HWY 20</v>
      </c>
      <c r="F855" s="312"/>
      <c r="G855" s="314"/>
      <c r="H855" s="315"/>
      <c r="I855" s="8"/>
      <c r="J855" s="8"/>
      <c r="K855" s="8"/>
      <c r="L855" s="8"/>
      <c r="M855" s="8"/>
      <c r="N855" s="8"/>
      <c r="O855" s="8"/>
      <c r="P855" s="8"/>
      <c r="Q855" s="8"/>
      <c r="R855" s="8"/>
      <c r="S855" s="8"/>
      <c r="T855" s="82"/>
    </row>
    <row r="856" spans="1:20" ht="13.5" customHeight="1" x14ac:dyDescent="0.25">
      <c r="A856" s="307">
        <v>2</v>
      </c>
      <c r="B856" s="307"/>
      <c r="C856" s="170" t="s">
        <v>44</v>
      </c>
      <c r="D856" s="309"/>
      <c r="E856" s="170"/>
      <c r="F856" s="311"/>
      <c r="G856" s="313"/>
      <c r="H856" s="315"/>
      <c r="I856" s="8"/>
      <c r="J856" s="8"/>
      <c r="K856" s="8"/>
      <c r="L856" s="8"/>
      <c r="M856" s="8"/>
      <c r="N856" s="8"/>
      <c r="O856" s="8"/>
      <c r="P856" s="8"/>
      <c r="Q856" s="8"/>
      <c r="R856" s="8"/>
      <c r="S856" s="8"/>
      <c r="T856" s="82"/>
    </row>
    <row r="857" spans="1:20" ht="13.5" customHeight="1" x14ac:dyDescent="0.25">
      <c r="A857" s="308"/>
      <c r="B857" s="308"/>
      <c r="C857" s="171" t="str">
        <f>IFERROR(VLOOKUP(C856,Списки!$E:$F,2,0)," ")</f>
        <v>LEVASHOVSKOE HWY 20</v>
      </c>
      <c r="D857" s="310"/>
      <c r="E857" s="171" t="str">
        <f>IFERROR(VLOOKUP(E856,Списки!$E:$F,2,0)," ")</f>
        <v xml:space="preserve"> </v>
      </c>
      <c r="F857" s="312"/>
      <c r="G857" s="314"/>
      <c r="H857" s="315"/>
      <c r="I857" s="8"/>
      <c r="J857" s="8"/>
      <c r="K857" s="8"/>
      <c r="L857" s="8"/>
      <c r="M857" s="8"/>
      <c r="N857" s="8"/>
      <c r="O857" s="8"/>
      <c r="P857" s="8"/>
      <c r="Q857" s="8"/>
      <c r="R857" s="8"/>
      <c r="S857" s="8"/>
      <c r="T857" s="82"/>
    </row>
    <row r="858" spans="1:20" ht="13.5" customHeight="1" x14ac:dyDescent="0.25">
      <c r="A858" s="307">
        <v>3</v>
      </c>
      <c r="B858" s="307"/>
      <c r="C858" s="170"/>
      <c r="D858" s="309"/>
      <c r="E858" s="170"/>
      <c r="F858" s="311"/>
      <c r="G858" s="313"/>
      <c r="H858" s="315"/>
      <c r="I858" s="8"/>
      <c r="J858" s="8"/>
      <c r="K858" s="8"/>
      <c r="L858" s="8"/>
      <c r="M858" s="8"/>
      <c r="N858" s="8"/>
      <c r="O858" s="8"/>
      <c r="P858" s="8"/>
      <c r="Q858" s="8"/>
      <c r="R858" s="8"/>
      <c r="S858" s="8"/>
      <c r="T858" s="82"/>
    </row>
    <row r="859" spans="1:20" ht="13.5" customHeight="1" x14ac:dyDescent="0.25">
      <c r="A859" s="308"/>
      <c r="B859" s="308"/>
      <c r="C859" s="171" t="str">
        <f>IFERROR(VLOOKUP(C858,Списки!$E:$F,2,0)," ")</f>
        <v xml:space="preserve"> </v>
      </c>
      <c r="D859" s="310"/>
      <c r="E859" s="171" t="str">
        <f>IFERROR(VLOOKUP(E858,Списки!$E:$F,2,0)," ")</f>
        <v xml:space="preserve"> </v>
      </c>
      <c r="F859" s="312"/>
      <c r="G859" s="314"/>
      <c r="H859" s="315"/>
      <c r="I859" s="8"/>
      <c r="J859" s="8"/>
      <c r="K859" s="8"/>
      <c r="L859" s="8"/>
      <c r="M859" s="8"/>
      <c r="N859" s="8"/>
      <c r="O859" s="8"/>
      <c r="P859" s="8"/>
      <c r="Q859" s="8"/>
      <c r="R859" s="8"/>
      <c r="S859" s="8"/>
      <c r="T859" s="82"/>
    </row>
    <row r="860" spans="1:20" ht="13.5" customHeight="1" x14ac:dyDescent="0.25">
      <c r="A860" s="307">
        <v>4</v>
      </c>
      <c r="B860" s="307"/>
      <c r="C860" s="170"/>
      <c r="D860" s="309"/>
      <c r="E860" s="170"/>
      <c r="F860" s="311"/>
      <c r="G860" s="313"/>
      <c r="H860" s="315"/>
      <c r="I860" s="8"/>
      <c r="J860" s="8"/>
      <c r="K860" s="8"/>
      <c r="L860" s="8"/>
      <c r="M860" s="8"/>
      <c r="N860" s="8"/>
      <c r="O860" s="8"/>
      <c r="P860" s="8"/>
      <c r="Q860" s="8"/>
      <c r="R860" s="8"/>
      <c r="S860" s="8"/>
      <c r="T860" s="82"/>
    </row>
    <row r="861" spans="1:20" ht="13.5" customHeight="1" x14ac:dyDescent="0.25">
      <c r="A861" s="308"/>
      <c r="B861" s="308"/>
      <c r="C861" s="171" t="str">
        <f>IFERROR(VLOOKUP(C860,Списки!$E:$F,2,0)," ")</f>
        <v xml:space="preserve"> </v>
      </c>
      <c r="D861" s="310"/>
      <c r="E861" s="171" t="str">
        <f>IFERROR(VLOOKUP(E860,Списки!$E:$F,2,0)," ")</f>
        <v xml:space="preserve"> </v>
      </c>
      <c r="F861" s="312"/>
      <c r="G861" s="314"/>
      <c r="H861" s="315"/>
      <c r="I861" s="8"/>
      <c r="J861" s="8"/>
      <c r="K861" s="8"/>
      <c r="L861" s="8"/>
      <c r="M861" s="8"/>
      <c r="N861" s="8"/>
      <c r="O861" s="8"/>
      <c r="P861" s="8"/>
      <c r="Q861" s="8"/>
      <c r="R861" s="8"/>
      <c r="S861" s="8"/>
      <c r="T861" s="82"/>
    </row>
    <row r="862" spans="1:20" ht="13.5" customHeight="1" x14ac:dyDescent="0.25">
      <c r="A862" s="307">
        <v>5</v>
      </c>
      <c r="B862" s="307"/>
      <c r="C862" s="170"/>
      <c r="D862" s="309"/>
      <c r="E862" s="172"/>
      <c r="F862" s="311"/>
      <c r="G862" s="313"/>
      <c r="H862" s="315"/>
      <c r="I862" s="8"/>
      <c r="J862" s="8"/>
      <c r="K862" s="8"/>
      <c r="L862" s="8"/>
      <c r="M862" s="8"/>
      <c r="N862" s="8"/>
      <c r="O862" s="8"/>
      <c r="P862" s="8"/>
      <c r="Q862" s="8"/>
      <c r="R862" s="8"/>
      <c r="S862" s="8"/>
      <c r="T862" s="82"/>
    </row>
    <row r="863" spans="1:20" ht="13.5" customHeight="1" x14ac:dyDescent="0.25">
      <c r="A863" s="308"/>
      <c r="B863" s="308"/>
      <c r="C863" s="171" t="str">
        <f>IFERROR(VLOOKUP(C862,Списки!$E:$F,2,0)," ")</f>
        <v xml:space="preserve"> </v>
      </c>
      <c r="D863" s="310"/>
      <c r="E863" s="172" t="str">
        <f>IFERROR(VLOOKUP(E862,Списки!$E:$F,2,0)," ")</f>
        <v xml:space="preserve"> </v>
      </c>
      <c r="F863" s="312"/>
      <c r="G863" s="314"/>
      <c r="H863" s="315"/>
      <c r="I863" s="8"/>
      <c r="J863" s="8"/>
      <c r="K863" s="8"/>
      <c r="L863" s="8"/>
      <c r="M863" s="8"/>
      <c r="N863" s="8"/>
      <c r="O863" s="8"/>
      <c r="P863" s="8"/>
      <c r="Q863" s="8"/>
      <c r="R863" s="8"/>
      <c r="S863" s="8"/>
      <c r="T863" s="82"/>
    </row>
    <row r="864" spans="1:20" ht="13.5" customHeight="1" x14ac:dyDescent="0.25">
      <c r="A864" s="307">
        <v>6</v>
      </c>
      <c r="B864" s="307"/>
      <c r="C864" s="170"/>
      <c r="D864" s="309"/>
      <c r="E864" s="170"/>
      <c r="F864" s="311"/>
      <c r="G864" s="313"/>
      <c r="H864" s="315"/>
      <c r="I864" s="8"/>
      <c r="J864" s="8"/>
      <c r="K864" s="8"/>
      <c r="L864" s="8"/>
      <c r="M864" s="8"/>
      <c r="N864" s="8"/>
      <c r="O864" s="8"/>
      <c r="P864" s="8"/>
      <c r="Q864" s="8"/>
      <c r="R864" s="8"/>
      <c r="S864" s="8"/>
      <c r="T864" s="82"/>
    </row>
    <row r="865" spans="1:20" ht="13.5" customHeight="1" x14ac:dyDescent="0.25">
      <c r="A865" s="308"/>
      <c r="B865" s="308"/>
      <c r="C865" s="171" t="str">
        <f>IFERROR(VLOOKUP(C864,Списки!$E:$F,2,0)," ")</f>
        <v xml:space="preserve"> </v>
      </c>
      <c r="D865" s="310"/>
      <c r="E865" s="179" t="str">
        <f>IFERROR(VLOOKUP(E864,Списки!$E:$F,2,0)," ")</f>
        <v xml:space="preserve"> </v>
      </c>
      <c r="F865" s="312"/>
      <c r="G865" s="314"/>
      <c r="H865" s="315"/>
      <c r="I865" s="8"/>
      <c r="J865" s="8"/>
      <c r="K865" s="8"/>
      <c r="L865" s="8"/>
      <c r="M865" s="8"/>
      <c r="N865" s="8"/>
      <c r="O865" s="8"/>
      <c r="P865" s="8"/>
      <c r="Q865" s="8"/>
      <c r="R865" s="8"/>
      <c r="S865" s="8"/>
      <c r="T865" s="82"/>
    </row>
    <row r="866" spans="1:20" ht="13.5" customHeight="1" x14ac:dyDescent="0.25">
      <c r="A866" s="307">
        <v>7</v>
      </c>
      <c r="B866" s="307"/>
      <c r="C866" s="170"/>
      <c r="D866" s="309"/>
      <c r="E866" s="170"/>
      <c r="F866" s="311"/>
      <c r="G866" s="313"/>
      <c r="H866" s="315"/>
      <c r="I866" s="8"/>
      <c r="J866" s="8"/>
      <c r="K866" s="8"/>
      <c r="L866" s="8"/>
      <c r="M866" s="8"/>
      <c r="N866" s="8"/>
      <c r="O866" s="8"/>
      <c r="P866" s="8"/>
      <c r="Q866" s="8"/>
      <c r="R866" s="8"/>
      <c r="S866" s="8"/>
      <c r="T866" s="82"/>
    </row>
    <row r="867" spans="1:20" ht="13.5" customHeight="1" x14ac:dyDescent="0.25">
      <c r="A867" s="308"/>
      <c r="B867" s="308"/>
      <c r="C867" s="179" t="str">
        <f>IFERROR(VLOOKUP(C866,Списки!$E:$F,2,0)," ")</f>
        <v xml:space="preserve"> </v>
      </c>
      <c r="D867" s="310"/>
      <c r="E867" s="171" t="str">
        <f>IFERROR(VLOOKUP(E866,Списки!$E:$F,2,0)," ")</f>
        <v xml:space="preserve"> </v>
      </c>
      <c r="F867" s="312"/>
      <c r="G867" s="314"/>
      <c r="H867" s="315"/>
      <c r="I867" s="8"/>
      <c r="J867" s="8"/>
      <c r="K867" s="8"/>
      <c r="L867" s="8"/>
      <c r="M867" s="8"/>
      <c r="N867" s="8"/>
      <c r="O867" s="8"/>
      <c r="P867" s="8"/>
      <c r="Q867" s="8"/>
      <c r="R867" s="8"/>
      <c r="S867" s="8"/>
      <c r="T867" s="82"/>
    </row>
    <row r="868" spans="1:20" ht="13.5" customHeight="1" x14ac:dyDescent="0.25">
      <c r="A868" s="307">
        <v>8</v>
      </c>
      <c r="B868" s="307"/>
      <c r="C868" s="170"/>
      <c r="D868" s="309"/>
      <c r="E868" s="170"/>
      <c r="F868" s="311"/>
      <c r="G868" s="313"/>
      <c r="H868" s="315"/>
      <c r="I868" s="8"/>
      <c r="J868" s="8"/>
      <c r="K868" s="8"/>
      <c r="L868" s="8"/>
      <c r="M868" s="8"/>
      <c r="N868" s="8"/>
      <c r="O868" s="8"/>
      <c r="P868" s="8"/>
      <c r="Q868" s="8"/>
      <c r="R868" s="8"/>
      <c r="S868" s="8"/>
      <c r="T868" s="82"/>
    </row>
    <row r="869" spans="1:20" ht="13.5" customHeight="1" x14ac:dyDescent="0.25">
      <c r="A869" s="308"/>
      <c r="B869" s="308"/>
      <c r="C869" s="179" t="str">
        <f>IFERROR(VLOOKUP(C868,Списки!$E:$F,2,0)," ")</f>
        <v xml:space="preserve"> </v>
      </c>
      <c r="D869" s="310"/>
      <c r="E869" s="171" t="str">
        <f>IFERROR(VLOOKUP(E868,Списки!$E:$F,2,0)," ")</f>
        <v xml:space="preserve"> </v>
      </c>
      <c r="F869" s="312"/>
      <c r="G869" s="314"/>
      <c r="H869" s="315"/>
      <c r="I869" s="8"/>
      <c r="J869" s="8"/>
      <c r="K869" s="8"/>
      <c r="L869" s="8"/>
      <c r="M869" s="8"/>
      <c r="N869" s="8"/>
      <c r="O869" s="8"/>
      <c r="P869" s="8"/>
      <c r="Q869" s="8"/>
      <c r="R869" s="8"/>
      <c r="S869" s="8"/>
      <c r="T869" s="82"/>
    </row>
    <row r="870" spans="1:20" ht="13.5" customHeight="1" x14ac:dyDescent="0.25">
      <c r="A870" s="307">
        <v>9</v>
      </c>
      <c r="B870" s="307"/>
      <c r="C870" s="170"/>
      <c r="D870" s="309"/>
      <c r="E870" s="170"/>
      <c r="F870" s="311"/>
      <c r="G870" s="313"/>
      <c r="H870" s="315"/>
      <c r="I870" s="8"/>
      <c r="J870" s="8"/>
      <c r="K870" s="8"/>
      <c r="L870" s="8"/>
      <c r="M870" s="8"/>
      <c r="N870" s="8"/>
      <c r="O870" s="8"/>
      <c r="P870" s="8"/>
      <c r="Q870" s="8"/>
      <c r="R870" s="8"/>
      <c r="S870" s="8"/>
      <c r="T870" s="82"/>
    </row>
    <row r="871" spans="1:20" ht="13.5" customHeight="1" x14ac:dyDescent="0.25">
      <c r="A871" s="308"/>
      <c r="B871" s="308"/>
      <c r="C871" s="171" t="str">
        <f>IFERROR(VLOOKUP(C870,Списки!$E:$F,2,0)," ")</f>
        <v xml:space="preserve"> </v>
      </c>
      <c r="D871" s="310"/>
      <c r="E871" s="171" t="str">
        <f>IFERROR(VLOOKUP(E870,Списки!$E:$F,2,0)," ")</f>
        <v xml:space="preserve"> </v>
      </c>
      <c r="F871" s="312"/>
      <c r="G871" s="314"/>
      <c r="H871" s="315"/>
      <c r="I871" s="8"/>
      <c r="J871" s="8"/>
      <c r="K871" s="8"/>
      <c r="L871" s="8"/>
      <c r="M871" s="8"/>
      <c r="N871" s="8"/>
      <c r="O871" s="8"/>
      <c r="P871" s="8"/>
      <c r="Q871" s="8"/>
      <c r="R871" s="8"/>
      <c r="S871" s="8"/>
      <c r="T871" s="82"/>
    </row>
    <row r="872" spans="1:20" ht="13.5" customHeight="1" x14ac:dyDescent="0.25">
      <c r="A872" s="307">
        <v>10</v>
      </c>
      <c r="B872" s="307"/>
      <c r="C872" s="170"/>
      <c r="D872" s="309"/>
      <c r="E872" s="170"/>
      <c r="F872" s="311"/>
      <c r="G872" s="313"/>
      <c r="H872" s="315"/>
      <c r="I872" s="8"/>
      <c r="J872" s="8"/>
      <c r="K872" s="8"/>
      <c r="L872" s="8"/>
      <c r="M872" s="8"/>
      <c r="N872" s="8"/>
      <c r="O872" s="8"/>
      <c r="P872" s="8"/>
      <c r="Q872" s="8"/>
      <c r="R872" s="8"/>
      <c r="S872" s="8"/>
      <c r="T872" s="82"/>
    </row>
    <row r="873" spans="1:20" ht="13.5" customHeight="1" x14ac:dyDescent="0.25">
      <c r="A873" s="308"/>
      <c r="B873" s="308"/>
      <c r="C873" s="171" t="str">
        <f>IFERROR(VLOOKUP(C872,Списки!$E:$F,2,0)," ")</f>
        <v xml:space="preserve"> </v>
      </c>
      <c r="D873" s="310"/>
      <c r="E873" s="171" t="str">
        <f>IFERROR(VLOOKUP(E872,Списки!$E:$F,2,0)," ")</f>
        <v xml:space="preserve"> </v>
      </c>
      <c r="F873" s="312"/>
      <c r="G873" s="314"/>
      <c r="H873" s="315"/>
      <c r="I873" s="8"/>
      <c r="J873" s="8"/>
      <c r="K873" s="8"/>
      <c r="L873" s="8"/>
      <c r="M873" s="8"/>
      <c r="N873" s="8"/>
      <c r="O873" s="8"/>
      <c r="P873" s="8"/>
      <c r="Q873" s="8"/>
      <c r="R873" s="8"/>
      <c r="S873" s="8"/>
      <c r="T873" s="82"/>
    </row>
    <row r="874" spans="1:20" ht="13.5" customHeight="1" x14ac:dyDescent="0.25">
      <c r="A874" s="307">
        <v>11</v>
      </c>
      <c r="B874" s="307"/>
      <c r="C874" s="170"/>
      <c r="D874" s="309"/>
      <c r="E874" s="170"/>
      <c r="F874" s="311"/>
      <c r="G874" s="313"/>
      <c r="H874" s="315"/>
      <c r="I874" s="8"/>
      <c r="J874" s="8"/>
      <c r="K874" s="8"/>
      <c r="L874" s="8"/>
      <c r="M874" s="8"/>
      <c r="N874" s="8"/>
      <c r="O874" s="8"/>
      <c r="P874" s="8"/>
      <c r="Q874" s="8"/>
      <c r="R874" s="8"/>
      <c r="S874" s="8"/>
      <c r="T874" s="82"/>
    </row>
    <row r="875" spans="1:20" ht="13.5" customHeight="1" x14ac:dyDescent="0.25">
      <c r="A875" s="308"/>
      <c r="B875" s="308"/>
      <c r="C875" s="171" t="str">
        <f>IFERROR(VLOOKUP(C874,Списки!$E:$F,2,0)," ")</f>
        <v xml:space="preserve"> </v>
      </c>
      <c r="D875" s="310"/>
      <c r="E875" s="171" t="str">
        <f>IFERROR(VLOOKUP(E874,Списки!$E:$F,2,0)," ")</f>
        <v xml:space="preserve"> </v>
      </c>
      <c r="F875" s="312"/>
      <c r="G875" s="314"/>
      <c r="H875" s="315"/>
      <c r="I875" s="8"/>
      <c r="J875" s="8"/>
      <c r="K875" s="8"/>
      <c r="L875" s="8"/>
      <c r="M875" s="8"/>
      <c r="N875" s="8"/>
      <c r="O875" s="8"/>
      <c r="P875" s="8"/>
      <c r="Q875" s="8"/>
      <c r="R875" s="8"/>
      <c r="S875" s="8"/>
      <c r="T875" s="82"/>
    </row>
    <row r="876" spans="1:20" ht="13.5" customHeight="1" x14ac:dyDescent="0.25">
      <c r="A876" s="307">
        <v>12</v>
      </c>
      <c r="B876" s="307"/>
      <c r="C876" s="170"/>
      <c r="D876" s="309"/>
      <c r="E876" s="170"/>
      <c r="F876" s="311"/>
      <c r="G876" s="313"/>
      <c r="H876" s="315"/>
      <c r="I876" s="8"/>
      <c r="J876" s="8"/>
      <c r="K876" s="8"/>
      <c r="L876" s="8"/>
      <c r="M876" s="8"/>
      <c r="N876" s="8"/>
      <c r="O876" s="8"/>
      <c r="P876" s="8"/>
      <c r="Q876" s="8"/>
      <c r="R876" s="8"/>
      <c r="S876" s="8"/>
      <c r="T876" s="82"/>
    </row>
    <row r="877" spans="1:20" ht="13.5" customHeight="1" x14ac:dyDescent="0.25">
      <c r="A877" s="308"/>
      <c r="B877" s="308"/>
      <c r="C877" s="171" t="str">
        <f>IFERROR(VLOOKUP(C876,Списки!$E:$F,2,0)," ")</f>
        <v xml:space="preserve"> </v>
      </c>
      <c r="D877" s="310"/>
      <c r="E877" s="171" t="str">
        <f>IFERROR(VLOOKUP(E876,Списки!$E:$F,2,0)," ")</f>
        <v xml:space="preserve"> </v>
      </c>
      <c r="F877" s="312"/>
      <c r="G877" s="314"/>
      <c r="H877" s="315"/>
      <c r="I877" s="8"/>
      <c r="J877" s="8"/>
      <c r="K877" s="8"/>
      <c r="L877" s="8"/>
      <c r="M877" s="8"/>
      <c r="N877" s="8"/>
      <c r="O877" s="8"/>
      <c r="P877" s="8"/>
      <c r="Q877" s="8"/>
      <c r="R877" s="8"/>
      <c r="S877" s="8"/>
      <c r="T877" s="82"/>
    </row>
    <row r="878" spans="1:20" ht="13.5" customHeight="1" x14ac:dyDescent="0.25">
      <c r="A878" s="307">
        <v>13</v>
      </c>
      <c r="B878" s="307"/>
      <c r="C878" s="170"/>
      <c r="D878" s="309"/>
      <c r="E878" s="170"/>
      <c r="F878" s="311"/>
      <c r="G878" s="313"/>
      <c r="H878" s="315"/>
      <c r="I878" s="8"/>
      <c r="J878" s="8"/>
      <c r="K878" s="8"/>
      <c r="L878" s="8"/>
      <c r="M878" s="8"/>
      <c r="N878" s="8"/>
      <c r="O878" s="8"/>
      <c r="P878" s="8"/>
      <c r="Q878" s="8"/>
      <c r="R878" s="8"/>
      <c r="S878" s="8"/>
      <c r="T878" s="82"/>
    </row>
    <row r="879" spans="1:20" ht="13.5" customHeight="1" x14ac:dyDescent="0.25">
      <c r="A879" s="308"/>
      <c r="B879" s="308"/>
      <c r="C879" s="171" t="str">
        <f>IFERROR(VLOOKUP(C878,Списки!$E:$F,2,0)," ")</f>
        <v xml:space="preserve"> </v>
      </c>
      <c r="D879" s="310"/>
      <c r="E879" s="171" t="str">
        <f>IFERROR(VLOOKUP(E878,Списки!$E:$F,2,0)," ")</f>
        <v xml:space="preserve"> </v>
      </c>
      <c r="F879" s="312"/>
      <c r="G879" s="314"/>
      <c r="H879" s="315"/>
      <c r="I879" s="8"/>
      <c r="J879" s="8"/>
      <c r="K879" s="8"/>
      <c r="L879" s="8"/>
      <c r="M879" s="8"/>
      <c r="N879" s="8"/>
      <c r="O879" s="8"/>
      <c r="P879" s="8"/>
      <c r="Q879" s="8"/>
      <c r="R879" s="8"/>
      <c r="S879" s="8"/>
      <c r="T879" s="82"/>
    </row>
    <row r="880" spans="1:20" ht="13.5" customHeight="1" x14ac:dyDescent="0.25">
      <c r="A880" s="307">
        <v>14</v>
      </c>
      <c r="B880" s="307"/>
      <c r="C880" s="170"/>
      <c r="D880" s="309"/>
      <c r="E880" s="170"/>
      <c r="F880" s="311"/>
      <c r="G880" s="313"/>
      <c r="H880" s="315"/>
      <c r="I880" s="8"/>
      <c r="J880" s="8"/>
      <c r="K880" s="8"/>
      <c r="L880" s="8"/>
      <c r="M880" s="8"/>
      <c r="N880" s="8"/>
      <c r="O880" s="8"/>
      <c r="P880" s="8"/>
      <c r="Q880" s="8"/>
      <c r="R880" s="8"/>
      <c r="S880" s="8"/>
      <c r="T880" s="82"/>
    </row>
    <row r="881" spans="1:20" ht="13.5" customHeight="1" x14ac:dyDescent="0.25">
      <c r="A881" s="308"/>
      <c r="B881" s="308"/>
      <c r="C881" s="171" t="str">
        <f>IFERROR(VLOOKUP(C880,Списки!$E:$F,2,0)," ")</f>
        <v xml:space="preserve"> </v>
      </c>
      <c r="D881" s="310"/>
      <c r="E881" s="171" t="str">
        <f>IFERROR(VLOOKUP(E880,Списки!$E:$F,2,0)," ")</f>
        <v xml:space="preserve"> </v>
      </c>
      <c r="F881" s="312"/>
      <c r="G881" s="314"/>
      <c r="H881" s="315"/>
      <c r="I881" s="8"/>
      <c r="J881" s="8"/>
      <c r="K881" s="8"/>
      <c r="L881" s="8"/>
      <c r="M881" s="8"/>
      <c r="N881" s="8"/>
      <c r="O881" s="8"/>
      <c r="P881" s="8"/>
      <c r="Q881" s="8"/>
      <c r="R881" s="8"/>
      <c r="S881" s="8"/>
      <c r="T881" s="82"/>
    </row>
    <row r="882" spans="1:20" ht="13.5" customHeight="1" x14ac:dyDescent="0.25">
      <c r="A882" s="307">
        <v>15</v>
      </c>
      <c r="B882" s="307"/>
      <c r="C882" s="170"/>
      <c r="D882" s="309"/>
      <c r="E882" s="170"/>
      <c r="F882" s="311"/>
      <c r="G882" s="313"/>
      <c r="H882" s="315"/>
      <c r="I882" s="8"/>
      <c r="J882" s="8"/>
      <c r="K882" s="8"/>
      <c r="L882" s="8"/>
      <c r="M882" s="8"/>
      <c r="N882" s="8"/>
      <c r="O882" s="8"/>
      <c r="P882" s="8"/>
      <c r="Q882" s="8"/>
      <c r="R882" s="8"/>
      <c r="S882" s="8"/>
      <c r="T882" s="82"/>
    </row>
    <row r="883" spans="1:20" ht="13.5" customHeight="1" x14ac:dyDescent="0.25">
      <c r="A883" s="308"/>
      <c r="B883" s="308"/>
      <c r="C883" s="171" t="str">
        <f>IFERROR(VLOOKUP(C882,Списки!$E:$F,2,0)," ")</f>
        <v xml:space="preserve"> </v>
      </c>
      <c r="D883" s="310"/>
      <c r="E883" s="171" t="str">
        <f>IFERROR(VLOOKUP(E882,Списки!$E:$F,2,0)," ")</f>
        <v xml:space="preserve"> </v>
      </c>
      <c r="F883" s="312"/>
      <c r="G883" s="314"/>
      <c r="H883" s="315"/>
      <c r="I883" s="8"/>
      <c r="J883" s="8"/>
      <c r="K883" s="8"/>
      <c r="L883" s="8"/>
      <c r="M883" s="8"/>
      <c r="N883" s="8"/>
      <c r="O883" s="8"/>
      <c r="P883" s="8"/>
      <c r="Q883" s="8"/>
      <c r="R883" s="8"/>
      <c r="S883" s="8"/>
      <c r="T883" s="82"/>
    </row>
    <row r="884" spans="1:20" x14ac:dyDescent="0.25">
      <c r="A884" s="36"/>
      <c r="B884" s="37"/>
      <c r="C884" s="173"/>
      <c r="D884" s="173"/>
      <c r="E884" s="174" t="s">
        <v>30</v>
      </c>
      <c r="F884" s="39">
        <f>IFERROR(SUM(IFERROR(IF((LOOKUP(9E+307,F854:F883))&gt;$M$39,(LOOKUP(9E+307,F854:F883))-$M$39,IF((LOOKUP(9E+307,F854:F883))&lt;0.166666667,0+(LOOKUP(9E+307,F854:F883))+1-$M$39,0)),0),(IF(AND(IF(D854,$M$38-D854,0)&gt;0,F854,F854&gt;D854),$M$38-D854,IF(AND(D854,F854,D854&gt;F854),"error",0)))),"ОШИБКА")</f>
        <v>0</v>
      </c>
      <c r="G884" s="40" t="s">
        <v>27</v>
      </c>
      <c r="H884" s="206">
        <f>SUM(H854:H883)</f>
        <v>0</v>
      </c>
      <c r="I884" s="8"/>
      <c r="J884" s="8"/>
      <c r="K884" s="8"/>
      <c r="L884" s="8"/>
      <c r="M884" s="8"/>
      <c r="N884" s="8"/>
      <c r="O884" s="8"/>
      <c r="P884" s="8"/>
      <c r="Q884" s="8"/>
      <c r="R884" s="8"/>
      <c r="S884" s="8"/>
      <c r="T884" s="82"/>
    </row>
    <row r="885" spans="1:20" ht="15.75" x14ac:dyDescent="0.25">
      <c r="A885" s="316">
        <f>DATE(K1,J1,27)</f>
        <v>43857</v>
      </c>
      <c r="B885" s="316"/>
      <c r="C885" s="316"/>
      <c r="D885" s="316"/>
      <c r="E885" s="316"/>
      <c r="F885" s="316"/>
      <c r="G885" s="316"/>
      <c r="H885" s="316"/>
      <c r="I885" s="8"/>
      <c r="J885" s="8"/>
      <c r="K885" s="8"/>
      <c r="L885" s="8"/>
      <c r="M885" s="8"/>
      <c r="N885" s="8"/>
      <c r="O885" s="8"/>
      <c r="P885" s="8"/>
      <c r="Q885" s="8"/>
      <c r="R885" s="8"/>
      <c r="S885" s="8"/>
      <c r="T885" s="82"/>
    </row>
    <row r="886" spans="1:20" ht="13.5" customHeight="1" x14ac:dyDescent="0.25">
      <c r="A886" s="318"/>
      <c r="B886" s="320" t="s">
        <v>34</v>
      </c>
      <c r="C886" s="205" t="s">
        <v>39</v>
      </c>
      <c r="D886" s="322" t="s">
        <v>36</v>
      </c>
      <c r="E886" s="205" t="s">
        <v>37</v>
      </c>
      <c r="F886" s="320" t="s">
        <v>36</v>
      </c>
      <c r="G886" s="324" t="s">
        <v>35</v>
      </c>
      <c r="H886" s="315" t="s">
        <v>40</v>
      </c>
      <c r="I886" s="8"/>
      <c r="J886" s="8"/>
      <c r="K886" s="8"/>
      <c r="L886" s="8"/>
      <c r="M886" s="8"/>
      <c r="N886" s="8"/>
      <c r="O886" s="8"/>
      <c r="P886" s="8"/>
      <c r="Q886" s="8"/>
      <c r="R886" s="8"/>
      <c r="S886" s="8"/>
      <c r="T886" s="82"/>
    </row>
    <row r="887" spans="1:20" ht="13.5" customHeight="1" x14ac:dyDescent="0.25">
      <c r="A887" s="319"/>
      <c r="B887" s="321"/>
      <c r="C887" s="204" t="s">
        <v>38</v>
      </c>
      <c r="D887" s="323"/>
      <c r="E887" s="204" t="s">
        <v>38</v>
      </c>
      <c r="F887" s="321"/>
      <c r="G887" s="325"/>
      <c r="H887" s="315"/>
      <c r="I887" s="8"/>
      <c r="J887" s="8"/>
      <c r="K887" s="8"/>
      <c r="L887" s="8"/>
      <c r="M887" s="8"/>
      <c r="N887" s="8"/>
      <c r="O887" s="8"/>
      <c r="P887" s="8"/>
      <c r="Q887" s="8"/>
      <c r="R887" s="8"/>
      <c r="S887" s="8"/>
      <c r="T887" s="82"/>
    </row>
    <row r="888" spans="1:20" ht="13.5" customHeight="1" x14ac:dyDescent="0.25">
      <c r="A888" s="307">
        <v>1</v>
      </c>
      <c r="B888" s="307"/>
      <c r="C888" s="170" t="s">
        <v>43</v>
      </c>
      <c r="D888" s="309"/>
      <c r="E888" s="170" t="s">
        <v>44</v>
      </c>
      <c r="F888" s="311">
        <v>0.375</v>
      </c>
      <c r="G888" s="313"/>
      <c r="H888" s="315">
        <v>17</v>
      </c>
      <c r="I888" s="8"/>
      <c r="J888" s="8"/>
      <c r="K888" s="8"/>
      <c r="L888" s="8"/>
      <c r="M888" s="8"/>
      <c r="N888" s="8"/>
      <c r="O888" s="8"/>
      <c r="P888" s="8"/>
      <c r="Q888" s="8"/>
      <c r="R888" s="8"/>
      <c r="S888" s="8"/>
      <c r="T888" s="82"/>
    </row>
    <row r="889" spans="1:20" ht="13.5" customHeight="1" x14ac:dyDescent="0.25">
      <c r="A889" s="308"/>
      <c r="B889" s="308"/>
      <c r="C889" s="171" t="str">
        <f>IFERROR(VLOOKUP(C888,Списки!$E:$F,2,0)," ")</f>
        <v>SAVUSHKINA ST 128</v>
      </c>
      <c r="D889" s="310"/>
      <c r="E889" s="171" t="str">
        <f>IFERROR(VLOOKUP(E888,Списки!$E:$F,2,0)," ")</f>
        <v>LEVASHOVSKOE HWY 20</v>
      </c>
      <c r="F889" s="312"/>
      <c r="G889" s="314"/>
      <c r="H889" s="315"/>
      <c r="I889" s="8"/>
      <c r="J889" s="8"/>
      <c r="K889" s="8"/>
      <c r="L889" s="8"/>
      <c r="M889" s="8"/>
      <c r="N889" s="8"/>
      <c r="O889" s="8"/>
      <c r="P889" s="8"/>
      <c r="Q889" s="8"/>
      <c r="R889" s="8"/>
      <c r="S889" s="8"/>
      <c r="T889" s="82"/>
    </row>
    <row r="890" spans="1:20" ht="13.5" customHeight="1" x14ac:dyDescent="0.25">
      <c r="A890" s="307">
        <v>2</v>
      </c>
      <c r="B890" s="307" t="s">
        <v>82</v>
      </c>
      <c r="C890" s="170" t="s">
        <v>44</v>
      </c>
      <c r="D890" s="309">
        <v>0.39583333333333331</v>
      </c>
      <c r="E890" s="262" t="s">
        <v>229</v>
      </c>
      <c r="F890" s="311">
        <v>0.41666666666666669</v>
      </c>
      <c r="G890" s="313" t="s">
        <v>137</v>
      </c>
      <c r="H890" s="315">
        <v>22</v>
      </c>
      <c r="I890" s="8"/>
      <c r="J890" s="8"/>
      <c r="K890" s="8"/>
      <c r="L890" s="8"/>
      <c r="M890" s="8"/>
      <c r="N890" s="8"/>
      <c r="O890" s="8"/>
      <c r="P890" s="8"/>
      <c r="Q890" s="8"/>
      <c r="R890" s="8"/>
      <c r="S890" s="8"/>
      <c r="T890" s="82"/>
    </row>
    <row r="891" spans="1:20" ht="13.5" customHeight="1" x14ac:dyDescent="0.25">
      <c r="A891" s="308"/>
      <c r="B891" s="308"/>
      <c r="C891" s="171" t="str">
        <f>IFERROR(VLOOKUP(C890,Списки!$E:$F,2,0)," ")</f>
        <v>LEVASHOVSKOE HWY 20</v>
      </c>
      <c r="D891" s="310"/>
      <c r="E891" s="171" t="str">
        <f>IFERROR(VLOOKUP(E890,Списки!$E:$F,2,0)," ")</f>
        <v>LEYT SHMIDTA EMB 9</v>
      </c>
      <c r="F891" s="312"/>
      <c r="G891" s="314"/>
      <c r="H891" s="315"/>
      <c r="I891" s="8"/>
      <c r="J891" s="8"/>
      <c r="K891" s="8"/>
      <c r="L891" s="8"/>
      <c r="M891" s="8"/>
      <c r="N891" s="8"/>
      <c r="O891" s="8"/>
      <c r="P891" s="8"/>
      <c r="Q891" s="8"/>
      <c r="R891" s="8"/>
      <c r="S891" s="8"/>
      <c r="T891" s="82"/>
    </row>
    <row r="892" spans="1:20" ht="13.5" customHeight="1" x14ac:dyDescent="0.25">
      <c r="A892" s="307">
        <v>3</v>
      </c>
      <c r="B892" s="307" t="s">
        <v>122</v>
      </c>
      <c r="C892" s="262" t="s">
        <v>229</v>
      </c>
      <c r="D892" s="309">
        <v>0.43055555555555558</v>
      </c>
      <c r="E892" s="262" t="s">
        <v>345</v>
      </c>
      <c r="F892" s="311">
        <v>0.45833333333333331</v>
      </c>
      <c r="G892" s="313" t="s">
        <v>131</v>
      </c>
      <c r="H892" s="315">
        <v>13</v>
      </c>
      <c r="I892" s="8"/>
      <c r="J892" s="8"/>
      <c r="K892" s="8"/>
      <c r="L892" s="8"/>
      <c r="M892" s="8"/>
      <c r="N892" s="8"/>
      <c r="O892" s="8"/>
      <c r="P892" s="8"/>
      <c r="Q892" s="8"/>
      <c r="R892" s="8"/>
      <c r="S892" s="8"/>
      <c r="T892" s="82"/>
    </row>
    <row r="893" spans="1:20" ht="13.5" customHeight="1" x14ac:dyDescent="0.25">
      <c r="A893" s="308"/>
      <c r="B893" s="308"/>
      <c r="C893" s="171" t="str">
        <f>IFERROR(VLOOKUP(C892,Списки!$E:$F,2,0)," ")</f>
        <v>LEYT SHMIDTA EMB 9</v>
      </c>
      <c r="D893" s="310"/>
      <c r="E893" s="171" t="str">
        <f>IFERROR(VLOOKUP(E892,Списки!$E:$F,2,0)," ")</f>
        <v>BUKHARESTSKAYA ST 24/1</v>
      </c>
      <c r="F893" s="312"/>
      <c r="G893" s="314"/>
      <c r="H893" s="315"/>
      <c r="I893" s="8"/>
      <c r="J893" s="8"/>
      <c r="K893" s="8"/>
      <c r="L893" s="8"/>
      <c r="M893" s="8"/>
      <c r="N893" s="8"/>
      <c r="O893" s="8"/>
      <c r="P893" s="8"/>
      <c r="Q893" s="8"/>
      <c r="R893" s="8"/>
      <c r="S893" s="8"/>
      <c r="T893" s="82"/>
    </row>
    <row r="894" spans="1:20" ht="13.5" customHeight="1" x14ac:dyDescent="0.25">
      <c r="A894" s="307">
        <v>4</v>
      </c>
      <c r="B894" s="307" t="s">
        <v>82</v>
      </c>
      <c r="C894" s="262" t="s">
        <v>345</v>
      </c>
      <c r="D894" s="309">
        <v>0.4861111111111111</v>
      </c>
      <c r="E894" s="262" t="s">
        <v>85</v>
      </c>
      <c r="F894" s="311">
        <v>0.51388888888888895</v>
      </c>
      <c r="G894" s="313" t="s">
        <v>137</v>
      </c>
      <c r="H894" s="315">
        <v>18</v>
      </c>
      <c r="I894" s="8"/>
      <c r="J894" s="8"/>
      <c r="K894" s="8"/>
      <c r="L894" s="8"/>
      <c r="M894" s="8"/>
      <c r="N894" s="8"/>
      <c r="O894" s="8"/>
      <c r="P894" s="8"/>
      <c r="Q894" s="8"/>
      <c r="R894" s="8"/>
      <c r="S894" s="8"/>
      <c r="T894" s="82"/>
    </row>
    <row r="895" spans="1:20" ht="13.5" customHeight="1" x14ac:dyDescent="0.25">
      <c r="A895" s="308"/>
      <c r="B895" s="308"/>
      <c r="C895" s="171" t="str">
        <f>IFERROR(VLOOKUP(C894,Списки!$E:$F,2,0)," ")</f>
        <v>BUKHARESTSKAYA ST 24/1</v>
      </c>
      <c r="D895" s="310"/>
      <c r="E895" s="171" t="str">
        <f>IFERROR(VLOOKUP(E894,Списки!$E:$F,2,0)," ")</f>
        <v>KANTEMIROVSKAYA ST 37</v>
      </c>
      <c r="F895" s="312"/>
      <c r="G895" s="314"/>
      <c r="H895" s="315"/>
      <c r="I895" s="8"/>
      <c r="J895" s="8"/>
      <c r="K895" s="8"/>
      <c r="L895" s="8"/>
      <c r="M895" s="8"/>
      <c r="N895" s="8"/>
      <c r="O895" s="8"/>
      <c r="P895" s="8"/>
      <c r="Q895" s="8"/>
      <c r="R895" s="8"/>
      <c r="S895" s="8"/>
      <c r="T895" s="82"/>
    </row>
    <row r="896" spans="1:20" ht="13.5" customHeight="1" x14ac:dyDescent="0.25">
      <c r="A896" s="307">
        <v>5</v>
      </c>
      <c r="B896" s="307" t="s">
        <v>51</v>
      </c>
      <c r="C896" s="262" t="s">
        <v>85</v>
      </c>
      <c r="D896" s="309">
        <v>0.52777777777777779</v>
      </c>
      <c r="E896" s="263" t="s">
        <v>226</v>
      </c>
      <c r="F896" s="311">
        <v>0.54861111111111105</v>
      </c>
      <c r="G896" s="313" t="s">
        <v>184</v>
      </c>
      <c r="H896" s="315">
        <v>32</v>
      </c>
      <c r="I896" s="8"/>
      <c r="J896" s="8"/>
      <c r="K896" s="8"/>
      <c r="L896" s="8"/>
      <c r="M896" s="8"/>
      <c r="N896" s="8"/>
      <c r="O896" s="8"/>
      <c r="P896" s="8"/>
      <c r="Q896" s="8"/>
      <c r="R896" s="8"/>
      <c r="S896" s="8"/>
      <c r="T896" s="82"/>
    </row>
    <row r="897" spans="1:20" ht="13.5" customHeight="1" x14ac:dyDescent="0.25">
      <c r="A897" s="308"/>
      <c r="B897" s="308"/>
      <c r="C897" s="171" t="str">
        <f>IFERROR(VLOOKUP(C896,Списки!$E:$F,2,0)," ")</f>
        <v>KANTEMIROVSKAYA ST 37</v>
      </c>
      <c r="D897" s="310"/>
      <c r="E897" s="172" t="str">
        <f>IFERROR(VLOOKUP(E896,Списки!$E:$F,2,0)," ")</f>
        <v>VOLODARSKOGO ST 3</v>
      </c>
      <c r="F897" s="312"/>
      <c r="G897" s="314"/>
      <c r="H897" s="315"/>
      <c r="I897" s="8"/>
      <c r="J897" s="8"/>
      <c r="K897" s="8"/>
      <c r="L897" s="8"/>
      <c r="M897" s="8"/>
      <c r="N897" s="8"/>
      <c r="O897" s="8"/>
      <c r="P897" s="8"/>
      <c r="Q897" s="8"/>
      <c r="R897" s="8"/>
      <c r="S897" s="8"/>
      <c r="T897" s="82"/>
    </row>
    <row r="898" spans="1:20" ht="13.5" customHeight="1" x14ac:dyDescent="0.25">
      <c r="A898" s="307">
        <v>6</v>
      </c>
      <c r="B898" s="307"/>
      <c r="C898" s="263" t="s">
        <v>226</v>
      </c>
      <c r="D898" s="309">
        <v>0.56944444444444442</v>
      </c>
      <c r="E898" s="262" t="s">
        <v>44</v>
      </c>
      <c r="F898" s="311">
        <v>0.70833333333333337</v>
      </c>
      <c r="G898" s="313"/>
      <c r="H898" s="315">
        <v>19</v>
      </c>
      <c r="I898" s="8"/>
      <c r="J898" s="8"/>
      <c r="K898" s="8"/>
      <c r="L898" s="8"/>
      <c r="M898" s="8"/>
      <c r="N898" s="8"/>
      <c r="O898" s="8"/>
      <c r="P898" s="8"/>
      <c r="Q898" s="8"/>
      <c r="R898" s="8"/>
      <c r="S898" s="8"/>
      <c r="T898" s="82"/>
    </row>
    <row r="899" spans="1:20" ht="13.5" customHeight="1" x14ac:dyDescent="0.25">
      <c r="A899" s="308"/>
      <c r="B899" s="308"/>
      <c r="C899" s="171" t="str">
        <f>IFERROR(VLOOKUP(C898,Списки!$E:$F,2,0)," ")</f>
        <v>VOLODARSKOGO ST 3</v>
      </c>
      <c r="D899" s="310"/>
      <c r="E899" s="179" t="str">
        <f>IFERROR(VLOOKUP(E898,Списки!$E:$F,2,0)," ")</f>
        <v>LEVASHOVSKOE HWY 20</v>
      </c>
      <c r="F899" s="312"/>
      <c r="G899" s="314"/>
      <c r="H899" s="315"/>
      <c r="I899" s="8"/>
      <c r="J899" s="8"/>
      <c r="K899" s="8"/>
      <c r="L899" s="8"/>
      <c r="M899" s="8"/>
      <c r="N899" s="8"/>
      <c r="O899" s="8"/>
      <c r="P899" s="8"/>
      <c r="Q899" s="8"/>
      <c r="R899" s="8"/>
      <c r="S899" s="8"/>
      <c r="T899" s="82"/>
    </row>
    <row r="900" spans="1:20" ht="13.5" customHeight="1" x14ac:dyDescent="0.25">
      <c r="A900" s="307">
        <v>7</v>
      </c>
      <c r="B900" s="307" t="s">
        <v>142</v>
      </c>
      <c r="C900" s="262" t="s">
        <v>44</v>
      </c>
      <c r="D900" s="309">
        <v>0.73611111111111116</v>
      </c>
      <c r="E900" s="170"/>
      <c r="F900" s="311">
        <v>0.75694444444444453</v>
      </c>
      <c r="G900" s="313"/>
      <c r="H900" s="315">
        <v>25</v>
      </c>
      <c r="I900" s="8"/>
      <c r="J900" s="8"/>
      <c r="K900" s="8"/>
      <c r="L900" s="8"/>
      <c r="M900" s="8"/>
      <c r="N900" s="8"/>
      <c r="O900" s="8"/>
      <c r="P900" s="8"/>
      <c r="Q900" s="8"/>
      <c r="R900" s="8"/>
      <c r="S900" s="8"/>
      <c r="T900" s="82"/>
    </row>
    <row r="901" spans="1:20" ht="13.5" customHeight="1" x14ac:dyDescent="0.25">
      <c r="A901" s="308"/>
      <c r="B901" s="308"/>
      <c r="C901" s="179" t="str">
        <f>IFERROR(VLOOKUP(C900,Списки!$E:$F,2,0)," ")</f>
        <v>LEVASHOVSKOE HWY 20</v>
      </c>
      <c r="D901" s="310"/>
      <c r="E901" s="265" t="s">
        <v>410</v>
      </c>
      <c r="F901" s="312"/>
      <c r="G901" s="314"/>
      <c r="H901" s="315"/>
      <c r="I901" s="8"/>
      <c r="J901" s="8"/>
      <c r="K901" s="8"/>
      <c r="L901" s="8"/>
      <c r="M901" s="8"/>
      <c r="N901" s="8"/>
      <c r="O901" s="8"/>
      <c r="P901" s="8"/>
      <c r="Q901" s="8"/>
      <c r="R901" s="8"/>
      <c r="S901" s="8"/>
      <c r="T901" s="82"/>
    </row>
    <row r="902" spans="1:20" ht="13.5" customHeight="1" x14ac:dyDescent="0.25">
      <c r="A902" s="307">
        <v>8</v>
      </c>
      <c r="B902" s="307"/>
      <c r="C902" s="170"/>
      <c r="D902" s="309">
        <v>0.75694444444444453</v>
      </c>
      <c r="E902" s="262" t="s">
        <v>45</v>
      </c>
      <c r="F902" s="311">
        <v>0.79166666666666663</v>
      </c>
      <c r="G902" s="313"/>
      <c r="H902" s="315">
        <v>14</v>
      </c>
      <c r="I902" s="8"/>
      <c r="J902" s="8"/>
      <c r="K902" s="8"/>
      <c r="L902" s="8"/>
      <c r="M902" s="8"/>
      <c r="N902" s="8"/>
      <c r="O902" s="8"/>
      <c r="P902" s="8"/>
      <c r="Q902" s="8"/>
      <c r="R902" s="8"/>
      <c r="S902" s="8"/>
      <c r="T902" s="82"/>
    </row>
    <row r="903" spans="1:20" ht="13.5" customHeight="1" x14ac:dyDescent="0.25">
      <c r="A903" s="308"/>
      <c r="B903" s="308"/>
      <c r="C903" s="265" t="s">
        <v>410</v>
      </c>
      <c r="D903" s="310"/>
      <c r="E903" s="171" t="str">
        <f>IFERROR(VLOOKUP(E902,Списки!$E:$F,2,0)," ")</f>
        <v>SAVUSHKINA ST 128</v>
      </c>
      <c r="F903" s="312"/>
      <c r="G903" s="314"/>
      <c r="H903" s="315"/>
      <c r="I903" s="8"/>
      <c r="J903" s="8"/>
      <c r="K903" s="8"/>
      <c r="L903" s="8"/>
      <c r="M903" s="8"/>
      <c r="N903" s="8"/>
      <c r="O903" s="8"/>
      <c r="P903" s="8"/>
      <c r="Q903" s="8"/>
      <c r="R903" s="8"/>
      <c r="S903" s="8"/>
      <c r="T903" s="82"/>
    </row>
    <row r="904" spans="1:20" ht="13.5" customHeight="1" x14ac:dyDescent="0.25">
      <c r="A904" s="307">
        <v>9</v>
      </c>
      <c r="B904" s="307"/>
      <c r="C904" s="170"/>
      <c r="D904" s="309"/>
      <c r="E904" s="170"/>
      <c r="F904" s="311"/>
      <c r="G904" s="313"/>
      <c r="H904" s="315"/>
      <c r="I904" s="8"/>
      <c r="J904" s="8"/>
      <c r="K904" s="8"/>
      <c r="L904" s="8"/>
      <c r="M904" s="8"/>
      <c r="N904" s="8"/>
      <c r="O904" s="8"/>
      <c r="P904" s="8"/>
      <c r="Q904" s="8"/>
      <c r="R904" s="8"/>
      <c r="S904" s="8"/>
      <c r="T904" s="82"/>
    </row>
    <row r="905" spans="1:20" ht="13.5" customHeight="1" x14ac:dyDescent="0.25">
      <c r="A905" s="308"/>
      <c r="B905" s="308"/>
      <c r="C905" s="171" t="str">
        <f>IFERROR(VLOOKUP(C904,Списки!$E:$F,2,0)," ")</f>
        <v xml:space="preserve"> </v>
      </c>
      <c r="D905" s="310"/>
      <c r="E905" s="171" t="str">
        <f>IFERROR(VLOOKUP(E904,Списки!$E:$F,2,0)," ")</f>
        <v xml:space="preserve"> </v>
      </c>
      <c r="F905" s="312"/>
      <c r="G905" s="314"/>
      <c r="H905" s="315"/>
      <c r="I905" s="8"/>
      <c r="J905" s="8"/>
      <c r="K905" s="8"/>
      <c r="L905" s="8"/>
      <c r="M905" s="8"/>
      <c r="N905" s="8"/>
      <c r="O905" s="8"/>
      <c r="P905" s="8"/>
      <c r="Q905" s="8"/>
      <c r="R905" s="8"/>
      <c r="S905" s="8"/>
      <c r="T905" s="82"/>
    </row>
    <row r="906" spans="1:20" ht="13.5" customHeight="1" x14ac:dyDescent="0.25">
      <c r="A906" s="307">
        <v>10</v>
      </c>
      <c r="B906" s="307"/>
      <c r="C906" s="170"/>
      <c r="D906" s="309"/>
      <c r="E906" s="170"/>
      <c r="F906" s="311"/>
      <c r="G906" s="313"/>
      <c r="H906" s="315"/>
      <c r="I906" s="8"/>
      <c r="J906" s="8"/>
      <c r="K906" s="8"/>
      <c r="L906" s="8"/>
      <c r="M906" s="8"/>
      <c r="N906" s="8"/>
      <c r="O906" s="8"/>
      <c r="P906" s="8"/>
      <c r="Q906" s="8"/>
      <c r="R906" s="8"/>
      <c r="S906" s="8"/>
      <c r="T906" s="82"/>
    </row>
    <row r="907" spans="1:20" ht="13.5" customHeight="1" x14ac:dyDescent="0.25">
      <c r="A907" s="308"/>
      <c r="B907" s="308"/>
      <c r="C907" s="171" t="str">
        <f>IFERROR(VLOOKUP(C906,Списки!$E:$F,2,0)," ")</f>
        <v xml:space="preserve"> </v>
      </c>
      <c r="D907" s="310"/>
      <c r="E907" s="171" t="str">
        <f>IFERROR(VLOOKUP(E906,Списки!$E:$F,2,0)," ")</f>
        <v xml:space="preserve"> </v>
      </c>
      <c r="F907" s="312"/>
      <c r="G907" s="314"/>
      <c r="H907" s="315"/>
      <c r="I907" s="8"/>
      <c r="J907" s="8"/>
      <c r="K907" s="8"/>
      <c r="L907" s="8"/>
      <c r="M907" s="8"/>
      <c r="N907" s="8"/>
      <c r="O907" s="8"/>
      <c r="P907" s="8"/>
      <c r="Q907" s="8"/>
      <c r="R907" s="8"/>
      <c r="S907" s="8"/>
      <c r="T907" s="82"/>
    </row>
    <row r="908" spans="1:20" ht="13.5" customHeight="1" x14ac:dyDescent="0.25">
      <c r="A908" s="307">
        <v>11</v>
      </c>
      <c r="B908" s="307"/>
      <c r="C908" s="170"/>
      <c r="D908" s="309"/>
      <c r="E908" s="170"/>
      <c r="F908" s="311"/>
      <c r="G908" s="313"/>
      <c r="H908" s="315"/>
      <c r="I908" s="8"/>
      <c r="J908" s="8"/>
      <c r="K908" s="8"/>
      <c r="L908" s="8"/>
      <c r="M908" s="8"/>
      <c r="N908" s="8"/>
      <c r="O908" s="8"/>
      <c r="P908" s="8"/>
      <c r="Q908" s="8"/>
      <c r="R908" s="8"/>
      <c r="S908" s="8"/>
      <c r="T908" s="82"/>
    </row>
    <row r="909" spans="1:20" ht="13.5" customHeight="1" x14ac:dyDescent="0.25">
      <c r="A909" s="308"/>
      <c r="B909" s="308"/>
      <c r="C909" s="171" t="str">
        <f>IFERROR(VLOOKUP(C908,Списки!$E:$F,2,0)," ")</f>
        <v xml:space="preserve"> </v>
      </c>
      <c r="D909" s="310"/>
      <c r="E909" s="171" t="str">
        <f>IFERROR(VLOOKUP(E908,Списки!$E:$F,2,0)," ")</f>
        <v xml:space="preserve"> </v>
      </c>
      <c r="F909" s="312"/>
      <c r="G909" s="314"/>
      <c r="H909" s="315"/>
      <c r="I909" s="8"/>
      <c r="J909" s="8"/>
      <c r="K909" s="8"/>
      <c r="L909" s="8"/>
      <c r="M909" s="8"/>
      <c r="N909" s="8"/>
      <c r="O909" s="8"/>
      <c r="P909" s="8"/>
      <c r="Q909" s="8"/>
      <c r="R909" s="8"/>
      <c r="S909" s="8"/>
      <c r="T909" s="82"/>
    </row>
    <row r="910" spans="1:20" ht="13.5" customHeight="1" x14ac:dyDescent="0.25">
      <c r="A910" s="307">
        <v>12</v>
      </c>
      <c r="B910" s="307"/>
      <c r="C910" s="170"/>
      <c r="D910" s="309"/>
      <c r="E910" s="170"/>
      <c r="F910" s="311"/>
      <c r="G910" s="313"/>
      <c r="H910" s="315"/>
      <c r="I910" s="8"/>
      <c r="J910" s="8"/>
      <c r="K910" s="8"/>
      <c r="L910" s="8"/>
      <c r="M910" s="8"/>
      <c r="N910" s="8"/>
      <c r="O910" s="8"/>
      <c r="P910" s="8"/>
      <c r="Q910" s="8"/>
      <c r="R910" s="8"/>
      <c r="S910" s="8"/>
      <c r="T910" s="82"/>
    </row>
    <row r="911" spans="1:20" ht="13.5" customHeight="1" x14ac:dyDescent="0.25">
      <c r="A911" s="308"/>
      <c r="B911" s="308"/>
      <c r="C911" s="171" t="str">
        <f>IFERROR(VLOOKUP(C910,Списки!$E:$F,2,0)," ")</f>
        <v xml:space="preserve"> </v>
      </c>
      <c r="D911" s="310"/>
      <c r="E911" s="171" t="str">
        <f>IFERROR(VLOOKUP(E910,Списки!$E:$F,2,0)," ")</f>
        <v xml:space="preserve"> </v>
      </c>
      <c r="F911" s="312"/>
      <c r="G911" s="314"/>
      <c r="H911" s="315"/>
      <c r="I911" s="8"/>
      <c r="J911" s="8"/>
      <c r="K911" s="8"/>
      <c r="L911" s="8"/>
      <c r="M911" s="8"/>
      <c r="N911" s="8"/>
      <c r="O911" s="8"/>
      <c r="P911" s="8"/>
      <c r="Q911" s="8"/>
      <c r="R911" s="8"/>
      <c r="S911" s="8"/>
      <c r="T911" s="82"/>
    </row>
    <row r="912" spans="1:20" ht="13.5" customHeight="1" x14ac:dyDescent="0.25">
      <c r="A912" s="307">
        <v>13</v>
      </c>
      <c r="B912" s="307"/>
      <c r="C912" s="170"/>
      <c r="D912" s="309"/>
      <c r="E912" s="170"/>
      <c r="F912" s="311"/>
      <c r="G912" s="313"/>
      <c r="H912" s="315"/>
      <c r="I912" s="8"/>
      <c r="J912" s="8"/>
      <c r="K912" s="8"/>
      <c r="L912" s="8"/>
      <c r="M912" s="8"/>
      <c r="N912" s="8"/>
      <c r="O912" s="8"/>
      <c r="P912" s="8"/>
      <c r="Q912" s="8"/>
      <c r="R912" s="8"/>
      <c r="S912" s="8"/>
      <c r="T912" s="82"/>
    </row>
    <row r="913" spans="1:20" ht="13.5" customHeight="1" x14ac:dyDescent="0.25">
      <c r="A913" s="308"/>
      <c r="B913" s="308"/>
      <c r="C913" s="171" t="str">
        <f>IFERROR(VLOOKUP(C912,Списки!$E:$F,2,0)," ")</f>
        <v xml:space="preserve"> </v>
      </c>
      <c r="D913" s="310"/>
      <c r="E913" s="171" t="str">
        <f>IFERROR(VLOOKUP(E912,Списки!$E:$F,2,0)," ")</f>
        <v xml:space="preserve"> </v>
      </c>
      <c r="F913" s="312"/>
      <c r="G913" s="314"/>
      <c r="H913" s="315"/>
      <c r="I913" s="8"/>
      <c r="J913" s="8"/>
      <c r="K913" s="8"/>
      <c r="L913" s="8"/>
      <c r="M913" s="8"/>
      <c r="N913" s="8"/>
      <c r="O913" s="8"/>
      <c r="P913" s="8"/>
      <c r="Q913" s="8"/>
      <c r="R913" s="8"/>
      <c r="S913" s="8"/>
      <c r="T913" s="82"/>
    </row>
    <row r="914" spans="1:20" ht="13.5" customHeight="1" x14ac:dyDescent="0.25">
      <c r="A914" s="307">
        <v>14</v>
      </c>
      <c r="B914" s="307"/>
      <c r="C914" s="170"/>
      <c r="D914" s="309"/>
      <c r="E914" s="170"/>
      <c r="F914" s="311"/>
      <c r="G914" s="313"/>
      <c r="H914" s="315"/>
      <c r="I914" s="8"/>
      <c r="J914" s="8"/>
      <c r="K914" s="8"/>
      <c r="L914" s="8"/>
      <c r="M914" s="8"/>
      <c r="N914" s="8"/>
      <c r="O914" s="8"/>
      <c r="P914" s="8"/>
      <c r="Q914" s="8"/>
      <c r="R914" s="8"/>
      <c r="S914" s="8"/>
      <c r="T914" s="82"/>
    </row>
    <row r="915" spans="1:20" ht="13.5" customHeight="1" x14ac:dyDescent="0.25">
      <c r="A915" s="308"/>
      <c r="B915" s="308"/>
      <c r="C915" s="171" t="str">
        <f>IFERROR(VLOOKUP(C914,Списки!$E:$F,2,0)," ")</f>
        <v xml:space="preserve"> </v>
      </c>
      <c r="D915" s="310"/>
      <c r="E915" s="171" t="str">
        <f>IFERROR(VLOOKUP(E914,Списки!$E:$F,2,0)," ")</f>
        <v xml:space="preserve"> </v>
      </c>
      <c r="F915" s="312"/>
      <c r="G915" s="314"/>
      <c r="H915" s="315"/>
      <c r="I915" s="8"/>
      <c r="J915" s="8"/>
      <c r="K915" s="8"/>
      <c r="L915" s="8"/>
      <c r="M915" s="8"/>
      <c r="N915" s="8"/>
      <c r="O915" s="8"/>
      <c r="P915" s="8"/>
      <c r="Q915" s="8"/>
      <c r="R915" s="8"/>
      <c r="S915" s="8"/>
      <c r="T915" s="82"/>
    </row>
    <row r="916" spans="1:20" ht="13.5" customHeight="1" x14ac:dyDescent="0.25">
      <c r="A916" s="307">
        <v>15</v>
      </c>
      <c r="B916" s="307"/>
      <c r="C916" s="170"/>
      <c r="D916" s="309"/>
      <c r="E916" s="170"/>
      <c r="F916" s="311"/>
      <c r="G916" s="313"/>
      <c r="H916" s="315"/>
      <c r="I916" s="8"/>
      <c r="J916" s="8"/>
      <c r="K916" s="8"/>
      <c r="L916" s="8"/>
      <c r="M916" s="8"/>
      <c r="N916" s="8"/>
      <c r="O916" s="8"/>
      <c r="P916" s="8"/>
      <c r="Q916" s="8"/>
      <c r="R916" s="8"/>
      <c r="S916" s="8"/>
      <c r="T916" s="82"/>
    </row>
    <row r="917" spans="1:20" ht="13.5" customHeight="1" x14ac:dyDescent="0.25">
      <c r="A917" s="308"/>
      <c r="B917" s="308"/>
      <c r="C917" s="171" t="str">
        <f>IFERROR(VLOOKUP(C916,Списки!$E:$F,2,0)," ")</f>
        <v xml:space="preserve"> </v>
      </c>
      <c r="D917" s="310"/>
      <c r="E917" s="171" t="str">
        <f>IFERROR(VLOOKUP(E916,Списки!$E:$F,2,0)," ")</f>
        <v xml:space="preserve"> </v>
      </c>
      <c r="F917" s="312"/>
      <c r="G917" s="314"/>
      <c r="H917" s="315"/>
      <c r="I917" s="8"/>
      <c r="J917" s="8"/>
      <c r="K917" s="8"/>
      <c r="L917" s="8"/>
      <c r="M917" s="8"/>
      <c r="N917" s="8"/>
      <c r="O917" s="8"/>
      <c r="P917" s="8"/>
      <c r="Q917" s="8"/>
      <c r="R917" s="8"/>
      <c r="S917" s="8"/>
      <c r="T917" s="82"/>
    </row>
    <row r="918" spans="1:20" x14ac:dyDescent="0.25">
      <c r="A918" s="36"/>
      <c r="B918" s="37"/>
      <c r="C918" s="173"/>
      <c r="D918" s="173"/>
      <c r="E918" s="174" t="s">
        <v>30</v>
      </c>
      <c r="F918" s="39">
        <f>IFERROR(SUM(IFERROR(IF((LOOKUP(9E+307,F888:F917))&gt;$M$39,(LOOKUP(9E+307,F888:F917))-$M$39,IF((LOOKUP(9E+307,F888:F917))&lt;0.166666667,0+(LOOKUP(9E+307,F888:F917))+1-$M$39,0)),0),(IF(AND(IF(D888,$M$38-D888,0)&gt;0,F888,F888&gt;D888),$M$38-D888,IF(AND(D888,F888,D888&gt;F888),"error",0)))),"ОШИБКА")</f>
        <v>8.3333333333333259E-2</v>
      </c>
      <c r="G918" s="40" t="s">
        <v>27</v>
      </c>
      <c r="H918" s="206">
        <f>SUM(H888:H917)</f>
        <v>160</v>
      </c>
      <c r="I918" s="8"/>
      <c r="J918" s="8"/>
      <c r="K918" s="8"/>
      <c r="L918" s="8"/>
      <c r="M918" s="8"/>
      <c r="N918" s="8"/>
      <c r="O918" s="8"/>
      <c r="P918" s="8"/>
      <c r="Q918" s="8"/>
      <c r="R918" s="8"/>
      <c r="S918" s="8"/>
      <c r="T918" s="82"/>
    </row>
    <row r="919" spans="1:20" ht="15.75" x14ac:dyDescent="0.25">
      <c r="A919" s="316">
        <f>DATE(K1,J1,28)</f>
        <v>43858</v>
      </c>
      <c r="B919" s="316"/>
      <c r="C919" s="316"/>
      <c r="D919" s="316"/>
      <c r="E919" s="316"/>
      <c r="F919" s="316"/>
      <c r="G919" s="316"/>
      <c r="H919" s="316"/>
      <c r="I919" s="8"/>
      <c r="J919" s="8"/>
      <c r="K919" s="8"/>
      <c r="L919" s="8"/>
      <c r="M919" s="8"/>
      <c r="N919" s="8"/>
      <c r="O919" s="8"/>
      <c r="P919" s="8"/>
      <c r="Q919" s="8"/>
      <c r="R919" s="8"/>
      <c r="S919" s="8"/>
      <c r="T919" s="82"/>
    </row>
    <row r="920" spans="1:20" ht="13.5" customHeight="1" x14ac:dyDescent="0.25">
      <c r="A920" s="318"/>
      <c r="B920" s="320" t="s">
        <v>34</v>
      </c>
      <c r="C920" s="205" t="s">
        <v>39</v>
      </c>
      <c r="D920" s="322" t="s">
        <v>36</v>
      </c>
      <c r="E920" s="205" t="s">
        <v>37</v>
      </c>
      <c r="F920" s="320" t="s">
        <v>36</v>
      </c>
      <c r="G920" s="324" t="s">
        <v>35</v>
      </c>
      <c r="H920" s="315" t="s">
        <v>40</v>
      </c>
      <c r="I920" s="8"/>
      <c r="J920" s="8"/>
      <c r="K920" s="8"/>
      <c r="L920" s="8"/>
      <c r="M920" s="8"/>
      <c r="N920" s="8"/>
      <c r="O920" s="8"/>
      <c r="P920" s="8"/>
      <c r="Q920" s="8"/>
      <c r="R920" s="8"/>
      <c r="S920" s="8"/>
      <c r="T920" s="82"/>
    </row>
    <row r="921" spans="1:20" ht="13.5" customHeight="1" x14ac:dyDescent="0.25">
      <c r="A921" s="319"/>
      <c r="B921" s="321"/>
      <c r="C921" s="204" t="s">
        <v>38</v>
      </c>
      <c r="D921" s="323"/>
      <c r="E921" s="204" t="s">
        <v>38</v>
      </c>
      <c r="F921" s="321"/>
      <c r="G921" s="325"/>
      <c r="H921" s="315"/>
      <c r="I921" s="8"/>
      <c r="J921" s="8"/>
      <c r="K921" s="8"/>
      <c r="L921" s="8"/>
      <c r="M921" s="8"/>
      <c r="N921" s="8"/>
      <c r="O921" s="8"/>
      <c r="P921" s="8"/>
      <c r="Q921" s="8"/>
      <c r="R921" s="8"/>
      <c r="S921" s="8"/>
      <c r="T921" s="82"/>
    </row>
    <row r="922" spans="1:20" ht="13.5" customHeight="1" x14ac:dyDescent="0.25">
      <c r="A922" s="307">
        <v>1</v>
      </c>
      <c r="B922" s="307"/>
      <c r="C922" s="170" t="s">
        <v>43</v>
      </c>
      <c r="D922" s="309"/>
      <c r="E922" s="170" t="s">
        <v>44</v>
      </c>
      <c r="F922" s="311">
        <v>0.375</v>
      </c>
      <c r="G922" s="313"/>
      <c r="H922" s="315">
        <v>17</v>
      </c>
      <c r="I922" s="8"/>
      <c r="J922" s="8"/>
      <c r="K922" s="8"/>
      <c r="L922" s="8"/>
      <c r="M922" s="8"/>
      <c r="N922" s="8"/>
      <c r="O922" s="8"/>
      <c r="P922" s="8"/>
      <c r="Q922" s="8"/>
      <c r="R922" s="8"/>
      <c r="S922" s="8"/>
      <c r="T922" s="82"/>
    </row>
    <row r="923" spans="1:20" ht="13.5" customHeight="1" x14ac:dyDescent="0.25">
      <c r="A923" s="308"/>
      <c r="B923" s="308"/>
      <c r="C923" s="171" t="str">
        <f>IFERROR(VLOOKUP(C922,Списки!$E:$F,2,0)," ")</f>
        <v>SAVUSHKINA ST 128</v>
      </c>
      <c r="D923" s="310"/>
      <c r="E923" s="171" t="str">
        <f>IFERROR(VLOOKUP(E922,Списки!$E:$F,2,0)," ")</f>
        <v>LEVASHOVSKOE HWY 20</v>
      </c>
      <c r="F923" s="312"/>
      <c r="G923" s="314"/>
      <c r="H923" s="315"/>
      <c r="I923" s="8"/>
      <c r="J923" s="8"/>
      <c r="K923" s="8"/>
      <c r="L923" s="8"/>
      <c r="M923" s="8"/>
      <c r="N923" s="8"/>
      <c r="O923" s="8"/>
      <c r="P923" s="8"/>
      <c r="Q923" s="8"/>
      <c r="R923" s="8"/>
      <c r="S923" s="8"/>
      <c r="T923" s="82"/>
    </row>
    <row r="924" spans="1:20" ht="13.5" customHeight="1" x14ac:dyDescent="0.25">
      <c r="A924" s="307">
        <v>2</v>
      </c>
      <c r="B924" s="307" t="s">
        <v>135</v>
      </c>
      <c r="C924" s="170" t="s">
        <v>44</v>
      </c>
      <c r="D924" s="309">
        <v>0.41666666666666669</v>
      </c>
      <c r="E924" s="170"/>
      <c r="F924" s="311">
        <v>0.43055555555555558</v>
      </c>
      <c r="G924" s="313" t="s">
        <v>92</v>
      </c>
      <c r="H924" s="315">
        <v>16</v>
      </c>
      <c r="I924" s="8"/>
      <c r="J924" s="8"/>
      <c r="K924" s="8"/>
      <c r="L924" s="8"/>
      <c r="M924" s="8"/>
      <c r="N924" s="8"/>
      <c r="O924" s="8"/>
      <c r="P924" s="8"/>
      <c r="Q924" s="8"/>
      <c r="R924" s="8"/>
      <c r="S924" s="8"/>
      <c r="T924" s="82"/>
    </row>
    <row r="925" spans="1:20" ht="13.5" customHeight="1" x14ac:dyDescent="0.25">
      <c r="A925" s="308"/>
      <c r="B925" s="308"/>
      <c r="C925" s="171" t="str">
        <f>IFERROR(VLOOKUP(C924,Списки!$E:$F,2,0)," ")</f>
        <v>LEVASHOVSKOE HWY 20</v>
      </c>
      <c r="D925" s="310"/>
      <c r="E925" s="255" t="s">
        <v>393</v>
      </c>
      <c r="F925" s="312"/>
      <c r="G925" s="314"/>
      <c r="H925" s="315"/>
      <c r="I925" s="8"/>
      <c r="J925" s="8"/>
      <c r="K925" s="8"/>
      <c r="L925" s="8"/>
      <c r="M925" s="8"/>
      <c r="N925" s="8"/>
      <c r="O925" s="8"/>
      <c r="P925" s="8"/>
      <c r="Q925" s="8"/>
      <c r="R925" s="8"/>
      <c r="S925" s="8"/>
      <c r="T925" s="82"/>
    </row>
    <row r="926" spans="1:20" ht="13.5" customHeight="1" x14ac:dyDescent="0.25">
      <c r="A926" s="307">
        <v>3</v>
      </c>
      <c r="B926" s="307"/>
      <c r="C926" s="170"/>
      <c r="D926" s="309">
        <v>0.4861111111111111</v>
      </c>
      <c r="E926" s="262" t="s">
        <v>44</v>
      </c>
      <c r="F926" s="311">
        <v>0.5</v>
      </c>
      <c r="G926" s="313"/>
      <c r="H926" s="315">
        <v>19</v>
      </c>
      <c r="I926" s="8"/>
      <c r="J926" s="8"/>
      <c r="K926" s="8"/>
      <c r="L926" s="8"/>
      <c r="M926" s="8"/>
      <c r="N926" s="8"/>
      <c r="O926" s="8"/>
      <c r="P926" s="8"/>
      <c r="Q926" s="8"/>
      <c r="R926" s="8"/>
      <c r="S926" s="8"/>
      <c r="T926" s="82"/>
    </row>
    <row r="927" spans="1:20" ht="13.5" customHeight="1" x14ac:dyDescent="0.25">
      <c r="A927" s="308"/>
      <c r="B927" s="308"/>
      <c r="C927" s="255" t="s">
        <v>393</v>
      </c>
      <c r="D927" s="310"/>
      <c r="E927" s="171" t="str">
        <f>IFERROR(VLOOKUP(E926,Списки!$E:$F,2,0)," ")</f>
        <v>LEVASHOVSKOE HWY 20</v>
      </c>
      <c r="F927" s="312"/>
      <c r="G927" s="314"/>
      <c r="H927" s="315"/>
      <c r="I927" s="8"/>
      <c r="J927" s="8"/>
      <c r="K927" s="8"/>
      <c r="L927" s="8"/>
      <c r="M927" s="8"/>
      <c r="N927" s="8"/>
      <c r="O927" s="8"/>
      <c r="P927" s="8"/>
      <c r="Q927" s="8"/>
      <c r="R927" s="8"/>
      <c r="S927" s="8"/>
      <c r="T927" s="82"/>
    </row>
    <row r="928" spans="1:20" ht="13.5" customHeight="1" x14ac:dyDescent="0.25">
      <c r="A928" s="307">
        <v>4</v>
      </c>
      <c r="B928" s="307" t="s">
        <v>105</v>
      </c>
      <c r="C928" s="262" t="s">
        <v>44</v>
      </c>
      <c r="D928" s="309">
        <v>0.5</v>
      </c>
      <c r="E928" s="262" t="s">
        <v>411</v>
      </c>
      <c r="F928" s="311">
        <v>0.52777777777777779</v>
      </c>
      <c r="G928" s="313" t="s">
        <v>131</v>
      </c>
      <c r="H928" s="315">
        <v>33</v>
      </c>
      <c r="I928" s="8"/>
      <c r="J928" s="8"/>
      <c r="K928" s="8"/>
      <c r="L928" s="8"/>
      <c r="M928" s="8"/>
      <c r="N928" s="8"/>
      <c r="O928" s="8"/>
      <c r="P928" s="8"/>
      <c r="Q928" s="8"/>
      <c r="R928" s="8"/>
      <c r="S928" s="8"/>
      <c r="T928" s="82"/>
    </row>
    <row r="929" spans="1:20" ht="13.5" customHeight="1" x14ac:dyDescent="0.25">
      <c r="A929" s="308"/>
      <c r="B929" s="308"/>
      <c r="C929" s="171" t="str">
        <f>IFERROR(VLOOKUP(C928,Списки!$E:$F,2,0)," ")</f>
        <v>LEVASHOVSKOE HWY 20</v>
      </c>
      <c r="D929" s="310"/>
      <c r="E929" s="171" t="s">
        <v>412</v>
      </c>
      <c r="F929" s="312"/>
      <c r="G929" s="314"/>
      <c r="H929" s="315"/>
      <c r="I929" s="8"/>
      <c r="J929" s="8"/>
      <c r="K929" s="8"/>
      <c r="L929" s="8"/>
      <c r="M929" s="8"/>
      <c r="N929" s="8"/>
      <c r="O929" s="8"/>
      <c r="P929" s="8"/>
      <c r="Q929" s="8"/>
      <c r="R929" s="8"/>
      <c r="S929" s="8"/>
      <c r="T929" s="82"/>
    </row>
    <row r="930" spans="1:20" ht="13.5" customHeight="1" x14ac:dyDescent="0.25">
      <c r="A930" s="307">
        <v>5</v>
      </c>
      <c r="B930" s="307" t="s">
        <v>83</v>
      </c>
      <c r="C930" s="262" t="s">
        <v>411</v>
      </c>
      <c r="D930" s="309">
        <v>0.54861111111111105</v>
      </c>
      <c r="E930" s="263" t="s">
        <v>74</v>
      </c>
      <c r="F930" s="311">
        <v>0.5625</v>
      </c>
      <c r="G930" s="313" t="s">
        <v>137</v>
      </c>
      <c r="H930" s="315">
        <v>8</v>
      </c>
      <c r="I930" s="8"/>
      <c r="J930" s="8"/>
      <c r="K930" s="8"/>
      <c r="L930" s="8"/>
      <c r="M930" s="8"/>
      <c r="N930" s="8"/>
      <c r="O930" s="8"/>
      <c r="P930" s="8"/>
      <c r="Q930" s="8"/>
      <c r="R930" s="8"/>
      <c r="S930" s="8"/>
      <c r="T930" s="82"/>
    </row>
    <row r="931" spans="1:20" ht="13.5" customHeight="1" x14ac:dyDescent="0.25">
      <c r="A931" s="308"/>
      <c r="B931" s="308"/>
      <c r="C931" s="171" t="s">
        <v>412</v>
      </c>
      <c r="D931" s="310"/>
      <c r="E931" s="172" t="str">
        <f>IFERROR(VLOOKUP(E930,Списки!$E:$F,2,0)," ")</f>
        <v>ITALYANSKAYA ST 5</v>
      </c>
      <c r="F931" s="312"/>
      <c r="G931" s="314"/>
      <c r="H931" s="315"/>
      <c r="I931" s="8"/>
      <c r="J931" s="8"/>
      <c r="K931" s="8"/>
      <c r="L931" s="8"/>
      <c r="M931" s="8"/>
      <c r="N931" s="8"/>
      <c r="O931" s="8"/>
      <c r="P931" s="8"/>
      <c r="Q931" s="8"/>
      <c r="R931" s="8"/>
      <c r="S931" s="8"/>
      <c r="T931" s="82"/>
    </row>
    <row r="932" spans="1:20" ht="13.5" customHeight="1" x14ac:dyDescent="0.25">
      <c r="A932" s="307">
        <v>6</v>
      </c>
      <c r="B932" s="307" t="s">
        <v>82</v>
      </c>
      <c r="C932" s="263" t="s">
        <v>74</v>
      </c>
      <c r="D932" s="309">
        <v>0.57638888888888895</v>
      </c>
      <c r="E932" s="262" t="s">
        <v>229</v>
      </c>
      <c r="F932" s="311">
        <v>0.59027777777777779</v>
      </c>
      <c r="G932" s="313" t="s">
        <v>137</v>
      </c>
      <c r="H932" s="315">
        <v>4</v>
      </c>
      <c r="I932" s="8"/>
      <c r="J932" s="8"/>
      <c r="K932" s="8"/>
      <c r="L932" s="8"/>
      <c r="M932" s="8"/>
      <c r="N932" s="8"/>
      <c r="O932" s="8"/>
      <c r="P932" s="8"/>
      <c r="Q932" s="8"/>
      <c r="R932" s="8"/>
      <c r="S932" s="8"/>
      <c r="T932" s="82"/>
    </row>
    <row r="933" spans="1:20" ht="13.5" customHeight="1" x14ac:dyDescent="0.25">
      <c r="A933" s="308"/>
      <c r="B933" s="308"/>
      <c r="C933" s="171" t="str">
        <f>IFERROR(VLOOKUP(C932,Списки!$E:$F,2,0)," ")</f>
        <v>ITALYANSKAYA ST 5</v>
      </c>
      <c r="D933" s="310"/>
      <c r="E933" s="179" t="str">
        <f>IFERROR(VLOOKUP(E932,Списки!$E:$F,2,0)," ")</f>
        <v>LEYT SHMIDTA EMB 9</v>
      </c>
      <c r="F933" s="312"/>
      <c r="G933" s="314"/>
      <c r="H933" s="315"/>
      <c r="I933" s="8"/>
      <c r="J933" s="8"/>
      <c r="K933" s="8"/>
      <c r="L933" s="8"/>
      <c r="M933" s="8"/>
      <c r="N933" s="8"/>
      <c r="O933" s="8"/>
      <c r="P933" s="8"/>
      <c r="Q933" s="8"/>
      <c r="R933" s="8"/>
      <c r="S933" s="8"/>
      <c r="T933" s="82"/>
    </row>
    <row r="934" spans="1:20" ht="13.5" customHeight="1" x14ac:dyDescent="0.25">
      <c r="A934" s="307">
        <v>7</v>
      </c>
      <c r="B934" s="307" t="s">
        <v>51</v>
      </c>
      <c r="C934" s="262" t="s">
        <v>229</v>
      </c>
      <c r="D934" s="309">
        <v>0.59722222222222221</v>
      </c>
      <c r="E934" s="262" t="s">
        <v>421</v>
      </c>
      <c r="F934" s="311">
        <v>0.61805555555555558</v>
      </c>
      <c r="G934" s="313" t="s">
        <v>335</v>
      </c>
      <c r="H934" s="315">
        <v>15</v>
      </c>
      <c r="I934" s="8"/>
      <c r="J934" s="8"/>
      <c r="K934" s="8"/>
      <c r="L934" s="8"/>
      <c r="M934" s="8"/>
      <c r="N934" s="8"/>
      <c r="O934" s="8"/>
      <c r="P934" s="8"/>
      <c r="Q934" s="8"/>
      <c r="R934" s="8"/>
      <c r="S934" s="8"/>
      <c r="T934" s="82"/>
    </row>
    <row r="935" spans="1:20" ht="13.5" customHeight="1" x14ac:dyDescent="0.25">
      <c r="A935" s="308"/>
      <c r="B935" s="308"/>
      <c r="C935" s="179" t="str">
        <f>IFERROR(VLOOKUP(C934,Списки!$E:$F,2,0)," ")</f>
        <v>LEYT SHMIDTA EMB 9</v>
      </c>
      <c r="D935" s="310"/>
      <c r="E935" s="265" t="s">
        <v>413</v>
      </c>
      <c r="F935" s="312"/>
      <c r="G935" s="314"/>
      <c r="H935" s="315"/>
      <c r="I935" s="8"/>
      <c r="J935" s="8"/>
      <c r="K935" s="8"/>
      <c r="L935" s="8"/>
      <c r="M935" s="8"/>
      <c r="N935" s="8"/>
      <c r="O935" s="8"/>
      <c r="P935" s="8"/>
      <c r="Q935" s="8"/>
      <c r="R935" s="8"/>
      <c r="S935" s="8"/>
      <c r="T935" s="82"/>
    </row>
    <row r="936" spans="1:20" ht="13.5" customHeight="1" x14ac:dyDescent="0.25">
      <c r="A936" s="307">
        <v>8</v>
      </c>
      <c r="B936" s="307"/>
      <c r="C936" s="262" t="s">
        <v>421</v>
      </c>
      <c r="D936" s="309">
        <v>0.63888888888888895</v>
      </c>
      <c r="E936" s="262" t="s">
        <v>44</v>
      </c>
      <c r="F936" s="311">
        <v>0.6875</v>
      </c>
      <c r="G936" s="313"/>
      <c r="H936" s="315">
        <v>17</v>
      </c>
      <c r="I936" s="8"/>
      <c r="J936" s="8"/>
      <c r="K936" s="8"/>
      <c r="L936" s="8"/>
      <c r="M936" s="8"/>
      <c r="N936" s="8"/>
      <c r="O936" s="8"/>
      <c r="P936" s="8"/>
      <c r="Q936" s="8"/>
      <c r="R936" s="8"/>
      <c r="S936" s="8"/>
      <c r="T936" s="82"/>
    </row>
    <row r="937" spans="1:20" ht="13.5" customHeight="1" x14ac:dyDescent="0.25">
      <c r="A937" s="308"/>
      <c r="B937" s="308"/>
      <c r="C937" s="265" t="s">
        <v>413</v>
      </c>
      <c r="D937" s="310"/>
      <c r="E937" s="171" t="str">
        <f>IFERROR(VLOOKUP(E936,Списки!$E:$F,2,0)," ")</f>
        <v>LEVASHOVSKOE HWY 20</v>
      </c>
      <c r="F937" s="312"/>
      <c r="G937" s="314"/>
      <c r="H937" s="315"/>
      <c r="I937" s="8"/>
      <c r="J937" s="8"/>
      <c r="K937" s="8"/>
      <c r="L937" s="8"/>
      <c r="M937" s="8"/>
      <c r="N937" s="8"/>
      <c r="O937" s="8"/>
      <c r="P937" s="8"/>
      <c r="Q937" s="8"/>
      <c r="R937" s="8"/>
      <c r="S937" s="8"/>
      <c r="T937" s="82"/>
    </row>
    <row r="938" spans="1:20" ht="13.5" customHeight="1" x14ac:dyDescent="0.25">
      <c r="A938" s="307">
        <v>9</v>
      </c>
      <c r="B938" s="307"/>
      <c r="C938" s="262" t="s">
        <v>44</v>
      </c>
      <c r="D938" s="309">
        <v>0.70833333333333337</v>
      </c>
      <c r="E938" s="262" t="s">
        <v>45</v>
      </c>
      <c r="F938" s="311"/>
      <c r="G938" s="313"/>
      <c r="H938" s="315">
        <v>16</v>
      </c>
      <c r="I938" s="8"/>
      <c r="J938" s="8"/>
      <c r="K938" s="8"/>
      <c r="L938" s="8"/>
      <c r="M938" s="8"/>
      <c r="N938" s="8"/>
      <c r="O938" s="8"/>
      <c r="P938" s="8"/>
      <c r="Q938" s="8"/>
      <c r="R938" s="8"/>
      <c r="S938" s="8"/>
      <c r="T938" s="82"/>
    </row>
    <row r="939" spans="1:20" ht="13.5" customHeight="1" x14ac:dyDescent="0.25">
      <c r="A939" s="308"/>
      <c r="B939" s="308"/>
      <c r="C939" s="171" t="str">
        <f>IFERROR(VLOOKUP(C938,Списки!$E:$F,2,0)," ")</f>
        <v>LEVASHOVSKOE HWY 20</v>
      </c>
      <c r="D939" s="310"/>
      <c r="E939" s="171" t="str">
        <f>IFERROR(VLOOKUP(E938,Списки!$E:$F,2,0)," ")</f>
        <v>SAVUSHKINA ST 128</v>
      </c>
      <c r="F939" s="312"/>
      <c r="G939" s="314"/>
      <c r="H939" s="315"/>
      <c r="I939" s="8"/>
      <c r="J939" s="8"/>
      <c r="K939" s="8"/>
      <c r="L939" s="8"/>
      <c r="M939" s="8"/>
      <c r="N939" s="8"/>
      <c r="O939" s="8"/>
      <c r="P939" s="8"/>
      <c r="Q939" s="8"/>
      <c r="R939" s="8"/>
      <c r="S939" s="8"/>
      <c r="T939" s="82"/>
    </row>
    <row r="940" spans="1:20" ht="13.5" customHeight="1" x14ac:dyDescent="0.25">
      <c r="A940" s="307">
        <v>10</v>
      </c>
      <c r="B940" s="307"/>
      <c r="C940" s="170"/>
      <c r="D940" s="309"/>
      <c r="E940" s="170"/>
      <c r="F940" s="311"/>
      <c r="G940" s="313"/>
      <c r="H940" s="315"/>
      <c r="I940" s="8"/>
      <c r="J940" s="8"/>
      <c r="K940" s="8"/>
      <c r="L940" s="8"/>
      <c r="M940" s="8"/>
      <c r="N940" s="8"/>
      <c r="O940" s="8"/>
      <c r="P940" s="8"/>
      <c r="Q940" s="8"/>
      <c r="R940" s="8"/>
      <c r="S940" s="8"/>
      <c r="T940" s="82"/>
    </row>
    <row r="941" spans="1:20" ht="13.5" customHeight="1" x14ac:dyDescent="0.25">
      <c r="A941" s="308"/>
      <c r="B941" s="308"/>
      <c r="C941" s="171" t="str">
        <f>IFERROR(VLOOKUP(C940,Списки!$E:$F,2,0)," ")</f>
        <v xml:space="preserve"> </v>
      </c>
      <c r="D941" s="310"/>
      <c r="E941" s="171" t="str">
        <f>IFERROR(VLOOKUP(E940,Списки!$E:$F,2,0)," ")</f>
        <v xml:space="preserve"> </v>
      </c>
      <c r="F941" s="312"/>
      <c r="G941" s="314"/>
      <c r="H941" s="315"/>
      <c r="I941" s="8"/>
      <c r="J941" s="8"/>
      <c r="K941" s="8"/>
      <c r="L941" s="8"/>
      <c r="M941" s="8"/>
      <c r="N941" s="8"/>
      <c r="O941" s="8"/>
      <c r="P941" s="8"/>
      <c r="Q941" s="8"/>
      <c r="R941" s="8"/>
      <c r="S941" s="8"/>
      <c r="T941" s="82"/>
    </row>
    <row r="942" spans="1:20" ht="13.5" customHeight="1" x14ac:dyDescent="0.25">
      <c r="A942" s="307">
        <v>11</v>
      </c>
      <c r="B942" s="307"/>
      <c r="C942" s="170"/>
      <c r="D942" s="309"/>
      <c r="E942" s="170"/>
      <c r="F942" s="311"/>
      <c r="G942" s="313"/>
      <c r="H942" s="315"/>
      <c r="I942" s="8"/>
      <c r="J942" s="8"/>
      <c r="K942" s="8"/>
      <c r="L942" s="8"/>
      <c r="M942" s="8"/>
      <c r="N942" s="8"/>
      <c r="O942" s="8"/>
      <c r="P942" s="8"/>
      <c r="Q942" s="8"/>
      <c r="R942" s="8"/>
      <c r="S942" s="8"/>
      <c r="T942" s="82"/>
    </row>
    <row r="943" spans="1:20" ht="13.5" customHeight="1" x14ac:dyDescent="0.25">
      <c r="A943" s="308"/>
      <c r="B943" s="308"/>
      <c r="C943" s="171" t="str">
        <f>IFERROR(VLOOKUP(C942,Списки!$E:$F,2,0)," ")</f>
        <v xml:space="preserve"> </v>
      </c>
      <c r="D943" s="310"/>
      <c r="E943" s="171" t="str">
        <f>IFERROR(VLOOKUP(E942,Списки!$E:$F,2,0)," ")</f>
        <v xml:space="preserve"> </v>
      </c>
      <c r="F943" s="312"/>
      <c r="G943" s="314"/>
      <c r="H943" s="315"/>
      <c r="I943" s="8"/>
      <c r="J943" s="8"/>
      <c r="K943" s="8"/>
      <c r="L943" s="8"/>
      <c r="M943" s="8"/>
      <c r="N943" s="8"/>
      <c r="O943" s="8"/>
      <c r="P943" s="8"/>
      <c r="Q943" s="8"/>
      <c r="R943" s="8"/>
      <c r="S943" s="8"/>
      <c r="T943" s="82"/>
    </row>
    <row r="944" spans="1:20" ht="13.5" customHeight="1" x14ac:dyDescent="0.25">
      <c r="A944" s="307">
        <v>12</v>
      </c>
      <c r="B944" s="307"/>
      <c r="C944" s="170"/>
      <c r="D944" s="309"/>
      <c r="E944" s="170"/>
      <c r="F944" s="311"/>
      <c r="G944" s="313"/>
      <c r="H944" s="315"/>
      <c r="I944" s="8"/>
      <c r="J944" s="8"/>
      <c r="K944" s="8"/>
      <c r="L944" s="8"/>
      <c r="M944" s="8"/>
      <c r="N944" s="8"/>
      <c r="O944" s="8"/>
      <c r="P944" s="8"/>
      <c r="Q944" s="8"/>
      <c r="R944" s="8"/>
      <c r="S944" s="8"/>
      <c r="T944" s="82"/>
    </row>
    <row r="945" spans="1:20" ht="13.5" customHeight="1" x14ac:dyDescent="0.25">
      <c r="A945" s="308"/>
      <c r="B945" s="308"/>
      <c r="C945" s="171" t="str">
        <f>IFERROR(VLOOKUP(C944,Списки!$E:$F,2,0)," ")</f>
        <v xml:space="preserve"> </v>
      </c>
      <c r="D945" s="310"/>
      <c r="E945" s="171" t="str">
        <f>IFERROR(VLOOKUP(E944,Списки!$E:$F,2,0)," ")</f>
        <v xml:space="preserve"> </v>
      </c>
      <c r="F945" s="312"/>
      <c r="G945" s="314"/>
      <c r="H945" s="315"/>
      <c r="I945" s="8"/>
      <c r="J945" s="8"/>
      <c r="K945" s="8"/>
      <c r="L945" s="8"/>
      <c r="M945" s="8"/>
      <c r="N945" s="8"/>
      <c r="O945" s="8"/>
      <c r="P945" s="8"/>
      <c r="Q945" s="8"/>
      <c r="R945" s="8"/>
      <c r="S945" s="8"/>
      <c r="T945" s="82"/>
    </row>
    <row r="946" spans="1:20" ht="13.5" customHeight="1" x14ac:dyDescent="0.25">
      <c r="A946" s="307">
        <v>13</v>
      </c>
      <c r="B946" s="307"/>
      <c r="C946" s="170"/>
      <c r="D946" s="309"/>
      <c r="E946" s="170"/>
      <c r="F946" s="311"/>
      <c r="G946" s="313"/>
      <c r="H946" s="315"/>
      <c r="I946" s="8"/>
      <c r="J946" s="8"/>
      <c r="K946" s="8"/>
      <c r="L946" s="8"/>
      <c r="M946" s="8"/>
      <c r="N946" s="8"/>
      <c r="O946" s="8"/>
      <c r="P946" s="8"/>
      <c r="Q946" s="8"/>
      <c r="R946" s="8"/>
      <c r="S946" s="8"/>
      <c r="T946" s="82"/>
    </row>
    <row r="947" spans="1:20" ht="13.5" customHeight="1" x14ac:dyDescent="0.25">
      <c r="A947" s="308"/>
      <c r="B947" s="308"/>
      <c r="C947" s="171" t="str">
        <f>IFERROR(VLOOKUP(C946,Списки!$E:$F,2,0)," ")</f>
        <v xml:space="preserve"> </v>
      </c>
      <c r="D947" s="310"/>
      <c r="E947" s="171" t="str">
        <f>IFERROR(VLOOKUP(E946,Списки!$E:$F,2,0)," ")</f>
        <v xml:space="preserve"> </v>
      </c>
      <c r="F947" s="312"/>
      <c r="G947" s="314"/>
      <c r="H947" s="315"/>
      <c r="I947" s="8"/>
      <c r="J947" s="8"/>
      <c r="K947" s="8"/>
      <c r="L947" s="8"/>
      <c r="M947" s="8"/>
      <c r="N947" s="8"/>
      <c r="O947" s="8"/>
      <c r="P947" s="8"/>
      <c r="Q947" s="8"/>
      <c r="R947" s="8"/>
      <c r="S947" s="8"/>
      <c r="T947" s="82"/>
    </row>
    <row r="948" spans="1:20" ht="13.5" customHeight="1" x14ac:dyDescent="0.25">
      <c r="A948" s="307">
        <v>14</v>
      </c>
      <c r="B948" s="307"/>
      <c r="C948" s="170"/>
      <c r="D948" s="309"/>
      <c r="E948" s="170"/>
      <c r="F948" s="311"/>
      <c r="G948" s="313"/>
      <c r="H948" s="315"/>
      <c r="I948" s="8"/>
      <c r="J948" s="8"/>
      <c r="K948" s="8"/>
      <c r="L948" s="8"/>
      <c r="M948" s="8"/>
      <c r="N948" s="8"/>
      <c r="O948" s="8"/>
      <c r="P948" s="8"/>
      <c r="Q948" s="8"/>
      <c r="R948" s="8"/>
      <c r="S948" s="8"/>
      <c r="T948" s="82"/>
    </row>
    <row r="949" spans="1:20" ht="13.5" customHeight="1" x14ac:dyDescent="0.25">
      <c r="A949" s="308"/>
      <c r="B949" s="308"/>
      <c r="C949" s="171" t="str">
        <f>IFERROR(VLOOKUP(C948,Списки!$E:$F,2,0)," ")</f>
        <v xml:space="preserve"> </v>
      </c>
      <c r="D949" s="310"/>
      <c r="E949" s="171" t="str">
        <f>IFERROR(VLOOKUP(E948,Списки!$E:$F,2,0)," ")</f>
        <v xml:space="preserve"> </v>
      </c>
      <c r="F949" s="312"/>
      <c r="G949" s="314"/>
      <c r="H949" s="315"/>
      <c r="I949" s="8"/>
      <c r="J949" s="8"/>
      <c r="K949" s="8"/>
      <c r="L949" s="8"/>
      <c r="M949" s="8"/>
      <c r="N949" s="8"/>
      <c r="O949" s="8"/>
      <c r="P949" s="8"/>
      <c r="Q949" s="8"/>
      <c r="R949" s="8"/>
      <c r="S949" s="8"/>
      <c r="T949" s="82"/>
    </row>
    <row r="950" spans="1:20" ht="13.5" customHeight="1" x14ac:dyDescent="0.25">
      <c r="A950" s="307">
        <v>15</v>
      </c>
      <c r="B950" s="307"/>
      <c r="C950" s="170"/>
      <c r="D950" s="309"/>
      <c r="E950" s="170"/>
      <c r="F950" s="311"/>
      <c r="G950" s="313"/>
      <c r="H950" s="315"/>
      <c r="I950" s="8"/>
      <c r="J950" s="8"/>
      <c r="K950" s="8"/>
      <c r="L950" s="8"/>
      <c r="M950" s="8"/>
      <c r="N950" s="8"/>
      <c r="O950" s="8"/>
      <c r="P950" s="8"/>
      <c r="Q950" s="8"/>
      <c r="R950" s="8"/>
      <c r="S950" s="8"/>
      <c r="T950" s="82"/>
    </row>
    <row r="951" spans="1:20" ht="13.5" customHeight="1" x14ac:dyDescent="0.25">
      <c r="A951" s="308"/>
      <c r="B951" s="308"/>
      <c r="C951" s="171" t="str">
        <f>IFERROR(VLOOKUP(C950,Списки!$E:$F,2,0)," ")</f>
        <v xml:space="preserve"> </v>
      </c>
      <c r="D951" s="310"/>
      <c r="E951" s="171" t="str">
        <f>IFERROR(VLOOKUP(E950,Списки!$E:$F,2,0)," ")</f>
        <v xml:space="preserve"> </v>
      </c>
      <c r="F951" s="312"/>
      <c r="G951" s="314"/>
      <c r="H951" s="315"/>
      <c r="I951" s="8"/>
      <c r="J951" s="8"/>
      <c r="K951" s="8"/>
      <c r="L951" s="8"/>
      <c r="M951" s="8"/>
      <c r="N951" s="8"/>
      <c r="O951" s="8"/>
      <c r="P951" s="8"/>
      <c r="Q951" s="8"/>
      <c r="R951" s="8"/>
      <c r="S951" s="8"/>
      <c r="T951" s="82"/>
    </row>
    <row r="952" spans="1:20" x14ac:dyDescent="0.25">
      <c r="A952" s="36"/>
      <c r="B952" s="37"/>
      <c r="C952" s="173"/>
      <c r="D952" s="173"/>
      <c r="E952" s="174" t="s">
        <v>30</v>
      </c>
      <c r="F952" s="39">
        <f>IFERROR(SUM(IFERROR(IF((LOOKUP(9E+307,F922:F951))&gt;$M$39,(LOOKUP(9E+307,F922:F951))-$M$39,IF((LOOKUP(9E+307,F922:F951))&lt;0.166666667,0+(LOOKUP(9E+307,F922:F951))+1-$M$39,0)),0),(IF(AND(IF(D922,$M$38-D922,0)&gt;0,F922,F922&gt;D922),$M$38-D922,IF(AND(D922,F922,D922&gt;F922),"error",0)))),"ОШИБКА")</f>
        <v>0</v>
      </c>
      <c r="G952" s="40" t="s">
        <v>27</v>
      </c>
      <c r="H952" s="206">
        <f>SUM(H922:H951)</f>
        <v>145</v>
      </c>
      <c r="I952" s="8"/>
      <c r="J952" s="8"/>
      <c r="K952" s="8"/>
      <c r="L952" s="8"/>
      <c r="M952" s="8"/>
      <c r="N952" s="8"/>
      <c r="O952" s="8"/>
      <c r="P952" s="8"/>
      <c r="Q952" s="8"/>
      <c r="R952" s="8"/>
      <c r="S952" s="8"/>
      <c r="T952" s="82"/>
    </row>
    <row r="953" spans="1:20" ht="15.75" x14ac:dyDescent="0.25">
      <c r="A953" s="316">
        <f>DATE(K1,J1,29)</f>
        <v>43859</v>
      </c>
      <c r="B953" s="316"/>
      <c r="C953" s="316"/>
      <c r="D953" s="316"/>
      <c r="E953" s="316"/>
      <c r="F953" s="316"/>
      <c r="G953" s="316"/>
      <c r="H953" s="316"/>
      <c r="I953" s="8"/>
      <c r="J953" s="8"/>
      <c r="K953" s="8"/>
      <c r="L953" s="8"/>
      <c r="M953" s="8"/>
      <c r="N953" s="8"/>
      <c r="O953" s="8"/>
      <c r="P953" s="8"/>
      <c r="Q953" s="8"/>
      <c r="R953" s="8"/>
      <c r="S953" s="8"/>
      <c r="T953" s="82"/>
    </row>
    <row r="954" spans="1:20" ht="13.5" customHeight="1" x14ac:dyDescent="0.25">
      <c r="A954" s="318"/>
      <c r="B954" s="320" t="s">
        <v>34</v>
      </c>
      <c r="C954" s="205" t="s">
        <v>39</v>
      </c>
      <c r="D954" s="322" t="s">
        <v>36</v>
      </c>
      <c r="E954" s="205" t="s">
        <v>37</v>
      </c>
      <c r="F954" s="320" t="s">
        <v>36</v>
      </c>
      <c r="G954" s="324" t="s">
        <v>35</v>
      </c>
      <c r="H954" s="315" t="s">
        <v>40</v>
      </c>
      <c r="I954" s="8"/>
      <c r="J954" s="8"/>
      <c r="K954" s="8"/>
      <c r="L954" s="8"/>
      <c r="M954" s="8"/>
      <c r="N954" s="8"/>
      <c r="O954" s="8"/>
      <c r="P954" s="8"/>
      <c r="Q954" s="8"/>
      <c r="R954" s="8"/>
      <c r="S954" s="8"/>
      <c r="T954" s="82"/>
    </row>
    <row r="955" spans="1:20" ht="13.5" customHeight="1" x14ac:dyDescent="0.25">
      <c r="A955" s="319"/>
      <c r="B955" s="321"/>
      <c r="C955" s="204" t="s">
        <v>38</v>
      </c>
      <c r="D955" s="323"/>
      <c r="E955" s="204" t="s">
        <v>38</v>
      </c>
      <c r="F955" s="321"/>
      <c r="G955" s="325"/>
      <c r="H955" s="315"/>
      <c r="I955" s="8"/>
      <c r="J955" s="8"/>
      <c r="K955" s="8"/>
      <c r="L955" s="8"/>
      <c r="M955" s="8"/>
      <c r="N955" s="8"/>
      <c r="O955" s="8"/>
      <c r="P955" s="8"/>
      <c r="Q955" s="8"/>
      <c r="R955" s="8"/>
      <c r="S955" s="8"/>
      <c r="T955" s="82"/>
    </row>
    <row r="956" spans="1:20" ht="13.5" customHeight="1" x14ac:dyDescent="0.25">
      <c r="A956" s="307">
        <v>1</v>
      </c>
      <c r="B956" s="307"/>
      <c r="C956" s="170" t="s">
        <v>43</v>
      </c>
      <c r="D956" s="309"/>
      <c r="E956" s="170" t="s">
        <v>44</v>
      </c>
      <c r="F956" s="311">
        <v>0.375</v>
      </c>
      <c r="G956" s="313"/>
      <c r="H956" s="315">
        <v>17</v>
      </c>
      <c r="I956" s="8"/>
      <c r="J956" s="8"/>
      <c r="K956" s="8"/>
      <c r="L956" s="8"/>
      <c r="M956" s="8"/>
      <c r="N956" s="8"/>
      <c r="O956" s="8"/>
      <c r="P956" s="8"/>
      <c r="Q956" s="8"/>
      <c r="R956" s="8"/>
      <c r="S956" s="8"/>
      <c r="T956" s="82"/>
    </row>
    <row r="957" spans="1:20" ht="13.5" customHeight="1" x14ac:dyDescent="0.25">
      <c r="A957" s="308"/>
      <c r="B957" s="308"/>
      <c r="C957" s="171" t="str">
        <f>IFERROR(VLOOKUP(C956,Списки!$E:$F,2,0)," ")</f>
        <v>SAVUSHKINA ST 128</v>
      </c>
      <c r="D957" s="310"/>
      <c r="E957" s="171" t="str">
        <f>IFERROR(VLOOKUP(E956,Списки!$E:$F,2,0)," ")</f>
        <v>LEVASHOVSKOE HWY 20</v>
      </c>
      <c r="F957" s="312"/>
      <c r="G957" s="314"/>
      <c r="H957" s="315"/>
      <c r="I957" s="8"/>
      <c r="J957" s="8"/>
      <c r="K957" s="8"/>
      <c r="L957" s="8"/>
      <c r="M957" s="8"/>
      <c r="N957" s="8"/>
      <c r="O957" s="8"/>
      <c r="P957" s="8"/>
      <c r="Q957" s="8"/>
      <c r="R957" s="8"/>
      <c r="S957" s="8"/>
      <c r="T957" s="82"/>
    </row>
    <row r="958" spans="1:20" ht="13.5" customHeight="1" x14ac:dyDescent="0.25">
      <c r="A958" s="307">
        <v>2</v>
      </c>
      <c r="B958" s="307" t="s">
        <v>419</v>
      </c>
      <c r="C958" s="170" t="s">
        <v>44</v>
      </c>
      <c r="D958" s="309">
        <v>0.39583333333333331</v>
      </c>
      <c r="E958" s="262" t="s">
        <v>420</v>
      </c>
      <c r="F958" s="311">
        <v>0.40277777777777773</v>
      </c>
      <c r="G958" s="313" t="s">
        <v>137</v>
      </c>
      <c r="H958" s="315">
        <v>5</v>
      </c>
      <c r="I958" s="8"/>
      <c r="J958" s="8"/>
      <c r="K958" s="8"/>
      <c r="L958" s="8"/>
      <c r="M958" s="8"/>
      <c r="N958" s="8"/>
      <c r="O958" s="8"/>
      <c r="P958" s="8"/>
      <c r="Q958" s="8"/>
      <c r="R958" s="8"/>
      <c r="S958" s="8"/>
      <c r="T958" s="82"/>
    </row>
    <row r="959" spans="1:20" ht="13.5" customHeight="1" x14ac:dyDescent="0.25">
      <c r="A959" s="308"/>
      <c r="B959" s="308"/>
      <c r="C959" s="171" t="str">
        <f>IFERROR(VLOOKUP(C958,Списки!$E:$F,2,0)," ")</f>
        <v>LEVASHOVSKOE HWY 20</v>
      </c>
      <c r="D959" s="310"/>
      <c r="E959" s="265" t="s">
        <v>418</v>
      </c>
      <c r="F959" s="312"/>
      <c r="G959" s="314"/>
      <c r="H959" s="315"/>
      <c r="I959" s="8"/>
      <c r="J959" s="8"/>
      <c r="K959" s="8"/>
      <c r="L959" s="8"/>
      <c r="M959" s="8"/>
      <c r="N959" s="8"/>
      <c r="O959" s="8"/>
      <c r="P959" s="8"/>
      <c r="Q959" s="8"/>
      <c r="R959" s="8"/>
      <c r="S959" s="8"/>
      <c r="T959" s="82"/>
    </row>
    <row r="960" spans="1:20" ht="13.5" customHeight="1" x14ac:dyDescent="0.25">
      <c r="A960" s="307">
        <v>3</v>
      </c>
      <c r="B960" s="307" t="s">
        <v>51</v>
      </c>
      <c r="C960" s="262" t="s">
        <v>420</v>
      </c>
      <c r="D960" s="309">
        <v>0.41666666666666669</v>
      </c>
      <c r="E960" s="262" t="s">
        <v>157</v>
      </c>
      <c r="F960" s="311">
        <v>0.4375</v>
      </c>
      <c r="G960" s="313" t="s">
        <v>423</v>
      </c>
      <c r="H960" s="315">
        <v>24</v>
      </c>
      <c r="I960" s="8"/>
      <c r="J960" s="8"/>
      <c r="K960" s="8"/>
      <c r="L960" s="8"/>
      <c r="M960" s="8"/>
      <c r="N960" s="8"/>
      <c r="O960" s="8"/>
      <c r="P960" s="8"/>
      <c r="Q960" s="8"/>
      <c r="R960" s="8"/>
      <c r="S960" s="8"/>
      <c r="T960" s="82"/>
    </row>
    <row r="961" spans="1:20" ht="13.5" customHeight="1" x14ac:dyDescent="0.25">
      <c r="A961" s="308"/>
      <c r="B961" s="308"/>
      <c r="C961" s="265" t="s">
        <v>418</v>
      </c>
      <c r="D961" s="310"/>
      <c r="E961" s="171" t="str">
        <f>IFERROR(VLOOKUP(E960,Списки!$E:$F,2,0)," ")</f>
        <v>STUDENCHESKAYA ST 10</v>
      </c>
      <c r="F961" s="312"/>
      <c r="G961" s="314"/>
      <c r="H961" s="315"/>
      <c r="I961" s="8"/>
      <c r="J961" s="8"/>
      <c r="K961" s="8"/>
      <c r="L961" s="8"/>
      <c r="M961" s="8"/>
      <c r="N961" s="8"/>
      <c r="O961" s="8"/>
      <c r="P961" s="8"/>
      <c r="Q961" s="8"/>
      <c r="R961" s="8"/>
      <c r="S961" s="8"/>
      <c r="T961" s="82"/>
    </row>
    <row r="962" spans="1:20" ht="13.5" customHeight="1" x14ac:dyDescent="0.25">
      <c r="A962" s="307">
        <v>4</v>
      </c>
      <c r="B962" s="307" t="s">
        <v>105</v>
      </c>
      <c r="C962" s="262" t="s">
        <v>157</v>
      </c>
      <c r="D962" s="309">
        <v>0.45833333333333331</v>
      </c>
      <c r="E962" s="262" t="s">
        <v>414</v>
      </c>
      <c r="F962" s="311">
        <v>0.47916666666666669</v>
      </c>
      <c r="G962" s="313" t="s">
        <v>131</v>
      </c>
      <c r="H962" s="315">
        <v>13</v>
      </c>
      <c r="I962" s="8"/>
      <c r="J962" s="8"/>
      <c r="K962" s="8"/>
      <c r="L962" s="8"/>
      <c r="M962" s="8"/>
      <c r="N962" s="8"/>
      <c r="O962" s="8"/>
      <c r="P962" s="8"/>
      <c r="Q962" s="8"/>
      <c r="R962" s="8"/>
      <c r="S962" s="8"/>
      <c r="T962" s="82"/>
    </row>
    <row r="963" spans="1:20" ht="13.5" customHeight="1" x14ac:dyDescent="0.25">
      <c r="A963" s="308"/>
      <c r="B963" s="308"/>
      <c r="C963" s="171" t="str">
        <f>IFERROR(VLOOKUP(C962,Списки!$E:$F,2,0)," ")</f>
        <v>STUDENCHESKAYA ST 10</v>
      </c>
      <c r="D963" s="310"/>
      <c r="E963" s="171" t="str">
        <f>IFERROR(VLOOKUP(E962,Списки!$E:$F,2,0)," ")</f>
        <v>VYBORGSKOE HWY 5/1</v>
      </c>
      <c r="F963" s="312"/>
      <c r="G963" s="314"/>
      <c r="H963" s="315"/>
      <c r="I963" s="8"/>
      <c r="J963" s="8"/>
      <c r="K963" s="8"/>
      <c r="L963" s="8"/>
      <c r="M963" s="8"/>
      <c r="N963" s="8"/>
      <c r="O963" s="8"/>
      <c r="P963" s="8"/>
      <c r="Q963" s="8"/>
      <c r="R963" s="8"/>
      <c r="S963" s="8"/>
      <c r="T963" s="82"/>
    </row>
    <row r="964" spans="1:20" ht="13.5" customHeight="1" x14ac:dyDescent="0.25">
      <c r="A964" s="307">
        <v>5</v>
      </c>
      <c r="B964" s="307" t="s">
        <v>51</v>
      </c>
      <c r="C964" s="262" t="s">
        <v>414</v>
      </c>
      <c r="D964" s="309">
        <v>0.50694444444444442</v>
      </c>
      <c r="E964" s="263" t="s">
        <v>226</v>
      </c>
      <c r="F964" s="311">
        <v>0.53472222222222221</v>
      </c>
      <c r="G964" s="313" t="s">
        <v>184</v>
      </c>
      <c r="H964" s="315">
        <v>29</v>
      </c>
      <c r="I964" s="8"/>
      <c r="J964" s="8"/>
      <c r="K964" s="8"/>
      <c r="L964" s="8"/>
      <c r="M964" s="8"/>
      <c r="N964" s="8"/>
      <c r="O964" s="8"/>
      <c r="P964" s="8"/>
      <c r="Q964" s="8"/>
      <c r="R964" s="8"/>
      <c r="S964" s="8"/>
      <c r="T964" s="82"/>
    </row>
    <row r="965" spans="1:20" ht="13.5" customHeight="1" x14ac:dyDescent="0.25">
      <c r="A965" s="308"/>
      <c r="B965" s="308"/>
      <c r="C965" s="171" t="str">
        <f>IFERROR(VLOOKUP(C964,Списки!$E:$F,2,0)," ")</f>
        <v>VYBORGSKOE HWY 5/1</v>
      </c>
      <c r="D965" s="310"/>
      <c r="E965" s="172" t="str">
        <f>IFERROR(VLOOKUP(E964,Списки!$E:$F,2,0)," ")</f>
        <v>VOLODARSKOGO ST 3</v>
      </c>
      <c r="F965" s="312"/>
      <c r="G965" s="314"/>
      <c r="H965" s="315"/>
      <c r="I965" s="8"/>
      <c r="J965" s="8"/>
      <c r="K965" s="8"/>
      <c r="L965" s="8"/>
      <c r="M965" s="8"/>
      <c r="N965" s="8"/>
      <c r="O965" s="8"/>
      <c r="P965" s="8"/>
      <c r="Q965" s="8"/>
      <c r="R965" s="8"/>
      <c r="S965" s="8"/>
      <c r="T965" s="82"/>
    </row>
    <row r="966" spans="1:20" ht="13.5" customHeight="1" x14ac:dyDescent="0.25">
      <c r="A966" s="307">
        <v>6</v>
      </c>
      <c r="B966" s="307" t="s">
        <v>107</v>
      </c>
      <c r="C966" s="263" t="s">
        <v>226</v>
      </c>
      <c r="D966" s="309">
        <v>0.54861111111111105</v>
      </c>
      <c r="E966" s="262" t="s">
        <v>273</v>
      </c>
      <c r="F966" s="311">
        <v>0.56944444444444442</v>
      </c>
      <c r="G966" s="313" t="s">
        <v>131</v>
      </c>
      <c r="H966" s="315">
        <v>28</v>
      </c>
      <c r="I966" s="8"/>
      <c r="J966" s="8"/>
      <c r="K966" s="8"/>
      <c r="L966" s="8"/>
      <c r="M966" s="8"/>
      <c r="N966" s="8"/>
      <c r="O966" s="8"/>
      <c r="P966" s="8"/>
      <c r="Q966" s="8"/>
      <c r="R966" s="8"/>
      <c r="S966" s="8"/>
      <c r="T966" s="82"/>
    </row>
    <row r="967" spans="1:20" ht="13.5" customHeight="1" x14ac:dyDescent="0.25">
      <c r="A967" s="308"/>
      <c r="B967" s="308"/>
      <c r="C967" s="171" t="str">
        <f>IFERROR(VLOOKUP(C966,Списки!$E:$F,2,0)," ")</f>
        <v>VOLODARSKOGO ST 3</v>
      </c>
      <c r="D967" s="310"/>
      <c r="E967" s="179" t="str">
        <f>IFERROR(VLOOKUP(E966,Списки!$E:$F,2,0)," ")</f>
        <v>OPTIKOV ST 4</v>
      </c>
      <c r="F967" s="312"/>
      <c r="G967" s="314"/>
      <c r="H967" s="315"/>
      <c r="I967" s="8"/>
      <c r="J967" s="8"/>
      <c r="K967" s="8"/>
      <c r="L967" s="8"/>
      <c r="M967" s="8"/>
      <c r="N967" s="8"/>
      <c r="O967" s="8"/>
      <c r="P967" s="8"/>
      <c r="Q967" s="8"/>
      <c r="R967" s="8"/>
      <c r="S967" s="8"/>
      <c r="T967" s="82"/>
    </row>
    <row r="968" spans="1:20" ht="13.5" customHeight="1" x14ac:dyDescent="0.25">
      <c r="A968" s="307">
        <v>7</v>
      </c>
      <c r="B968" s="307"/>
      <c r="C968" s="262" t="s">
        <v>273</v>
      </c>
      <c r="D968" s="309">
        <v>0.59722222222222221</v>
      </c>
      <c r="E968" s="262" t="s">
        <v>44</v>
      </c>
      <c r="F968" s="311">
        <v>0.71527777777777779</v>
      </c>
      <c r="G968" s="313"/>
      <c r="H968" s="315">
        <v>14</v>
      </c>
      <c r="I968" s="8"/>
      <c r="J968" s="8"/>
      <c r="K968" s="8"/>
      <c r="L968" s="8"/>
      <c r="M968" s="8"/>
      <c r="N968" s="8"/>
      <c r="O968" s="8"/>
      <c r="P968" s="8"/>
      <c r="Q968" s="8"/>
      <c r="R968" s="8"/>
      <c r="S968" s="8"/>
      <c r="T968" s="82"/>
    </row>
    <row r="969" spans="1:20" ht="13.5" customHeight="1" x14ac:dyDescent="0.25">
      <c r="A969" s="308"/>
      <c r="B969" s="308"/>
      <c r="C969" s="179" t="str">
        <f>IFERROR(VLOOKUP(C968,Списки!$E:$F,2,0)," ")</f>
        <v>OPTIKOV ST 4</v>
      </c>
      <c r="D969" s="310"/>
      <c r="E969" s="171" t="str">
        <f>IFERROR(VLOOKUP(E968,Списки!$E:$F,2,0)," ")</f>
        <v>LEVASHOVSKOE HWY 20</v>
      </c>
      <c r="F969" s="312"/>
      <c r="G969" s="314"/>
      <c r="H969" s="315"/>
      <c r="I969" s="8"/>
      <c r="J969" s="8"/>
      <c r="K969" s="8"/>
      <c r="L969" s="8"/>
      <c r="M969" s="8"/>
      <c r="N969" s="8"/>
      <c r="O969" s="8"/>
      <c r="P969" s="8"/>
      <c r="Q969" s="8"/>
      <c r="R969" s="8"/>
      <c r="S969" s="8"/>
      <c r="T969" s="82"/>
    </row>
    <row r="970" spans="1:20" ht="13.5" customHeight="1" x14ac:dyDescent="0.25">
      <c r="A970" s="307">
        <v>8</v>
      </c>
      <c r="B970" s="307" t="s">
        <v>141</v>
      </c>
      <c r="C970" s="262" t="s">
        <v>44</v>
      </c>
      <c r="D970" s="309">
        <v>0.72916666666666663</v>
      </c>
      <c r="E970" s="262" t="s">
        <v>416</v>
      </c>
      <c r="F970" s="311">
        <v>0.75</v>
      </c>
      <c r="G970" s="313"/>
      <c r="H970" s="315">
        <v>23</v>
      </c>
      <c r="I970" s="8"/>
      <c r="J970" s="8"/>
      <c r="K970" s="8"/>
      <c r="L970" s="8"/>
      <c r="M970" s="8"/>
      <c r="N970" s="8"/>
      <c r="O970" s="8"/>
      <c r="P970" s="8"/>
      <c r="Q970" s="8"/>
      <c r="R970" s="8"/>
      <c r="S970" s="8"/>
      <c r="T970" s="82"/>
    </row>
    <row r="971" spans="1:20" ht="13.5" customHeight="1" x14ac:dyDescent="0.25">
      <c r="A971" s="308"/>
      <c r="B971" s="308"/>
      <c r="C971" s="179" t="str">
        <f>IFERROR(VLOOKUP(C970,Списки!$E:$F,2,0)," ")</f>
        <v>LEVASHOVSKOE HWY 20</v>
      </c>
      <c r="D971" s="310"/>
      <c r="E971" s="265" t="s">
        <v>417</v>
      </c>
      <c r="F971" s="312"/>
      <c r="G971" s="314"/>
      <c r="H971" s="315"/>
      <c r="I971" s="8"/>
      <c r="J971" s="8"/>
      <c r="K971" s="8"/>
      <c r="L971" s="8"/>
      <c r="M971" s="8"/>
      <c r="N971" s="8"/>
      <c r="O971" s="8"/>
      <c r="P971" s="8"/>
      <c r="Q971" s="8"/>
      <c r="R971" s="8"/>
      <c r="S971" s="8"/>
      <c r="T971" s="82"/>
    </row>
    <row r="972" spans="1:20" ht="13.5" customHeight="1" x14ac:dyDescent="0.25">
      <c r="A972" s="307">
        <v>9</v>
      </c>
      <c r="B972" s="307"/>
      <c r="C972" s="262" t="s">
        <v>416</v>
      </c>
      <c r="D972" s="309">
        <v>0.75</v>
      </c>
      <c r="E972" s="262" t="s">
        <v>45</v>
      </c>
      <c r="F972" s="311">
        <v>0.77777777777777779</v>
      </c>
      <c r="G972" s="313"/>
      <c r="H972" s="315">
        <v>12</v>
      </c>
      <c r="I972" s="8"/>
      <c r="J972" s="8"/>
      <c r="K972" s="8"/>
      <c r="L972" s="8"/>
      <c r="M972" s="8"/>
      <c r="N972" s="8"/>
      <c r="O972" s="8"/>
      <c r="P972" s="8"/>
      <c r="Q972" s="8"/>
      <c r="R972" s="8"/>
      <c r="S972" s="8"/>
      <c r="T972" s="82"/>
    </row>
    <row r="973" spans="1:20" ht="13.5" customHeight="1" x14ac:dyDescent="0.25">
      <c r="A973" s="308"/>
      <c r="B973" s="308"/>
      <c r="C973" s="265" t="s">
        <v>417</v>
      </c>
      <c r="D973" s="310"/>
      <c r="E973" s="171" t="str">
        <f>IFERROR(VLOOKUP(E972,Списки!$E:$F,2,0)," ")</f>
        <v>SAVUSHKINA ST 128</v>
      </c>
      <c r="F973" s="312"/>
      <c r="G973" s="314"/>
      <c r="H973" s="315"/>
      <c r="I973" s="8"/>
      <c r="J973" s="8"/>
      <c r="K973" s="8"/>
      <c r="L973" s="8"/>
      <c r="M973" s="8"/>
      <c r="N973" s="8"/>
      <c r="O973" s="8"/>
      <c r="P973" s="8"/>
      <c r="Q973" s="8"/>
      <c r="R973" s="8"/>
      <c r="S973" s="8"/>
      <c r="T973" s="82"/>
    </row>
    <row r="974" spans="1:20" ht="13.5" customHeight="1" x14ac:dyDescent="0.25">
      <c r="A974" s="307">
        <v>10</v>
      </c>
      <c r="B974" s="307"/>
      <c r="C974" s="170"/>
      <c r="D974" s="309"/>
      <c r="E974" s="170"/>
      <c r="F974" s="311"/>
      <c r="G974" s="313"/>
      <c r="H974" s="315"/>
      <c r="I974" s="8"/>
      <c r="J974" s="8"/>
      <c r="K974" s="8"/>
      <c r="L974" s="8"/>
      <c r="M974" s="8"/>
      <c r="N974" s="8"/>
      <c r="O974" s="8"/>
      <c r="P974" s="8"/>
      <c r="Q974" s="8"/>
      <c r="R974" s="8"/>
      <c r="S974" s="8"/>
      <c r="T974" s="82"/>
    </row>
    <row r="975" spans="1:20" ht="13.5" customHeight="1" x14ac:dyDescent="0.25">
      <c r="A975" s="308"/>
      <c r="B975" s="308"/>
      <c r="C975" s="171" t="str">
        <f>IFERROR(VLOOKUP(C974,Списки!$E:$F,2,0)," ")</f>
        <v xml:space="preserve"> </v>
      </c>
      <c r="D975" s="310"/>
      <c r="E975" s="171" t="str">
        <f>IFERROR(VLOOKUP(E974,Списки!$E:$F,2,0)," ")</f>
        <v xml:space="preserve"> </v>
      </c>
      <c r="F975" s="312"/>
      <c r="G975" s="314"/>
      <c r="H975" s="315"/>
      <c r="I975" s="8"/>
      <c r="J975" s="8"/>
      <c r="K975" s="8"/>
      <c r="L975" s="8"/>
      <c r="M975" s="8"/>
      <c r="N975" s="8"/>
      <c r="O975" s="8"/>
      <c r="P975" s="8"/>
      <c r="Q975" s="8"/>
      <c r="R975" s="8"/>
      <c r="S975" s="8"/>
      <c r="T975" s="82"/>
    </row>
    <row r="976" spans="1:20" ht="13.5" customHeight="1" x14ac:dyDescent="0.25">
      <c r="A976" s="307">
        <v>11</v>
      </c>
      <c r="B976" s="307"/>
      <c r="C976" s="170"/>
      <c r="D976" s="309"/>
      <c r="E976" s="170"/>
      <c r="F976" s="311"/>
      <c r="G976" s="313"/>
      <c r="H976" s="315"/>
      <c r="I976" s="8"/>
      <c r="J976" s="8"/>
      <c r="K976" s="8"/>
      <c r="L976" s="8"/>
      <c r="M976" s="8"/>
      <c r="N976" s="8"/>
      <c r="O976" s="8"/>
      <c r="P976" s="8"/>
      <c r="Q976" s="8"/>
      <c r="R976" s="8"/>
      <c r="S976" s="8"/>
      <c r="T976" s="82"/>
    </row>
    <row r="977" spans="1:20" ht="13.5" customHeight="1" x14ac:dyDescent="0.25">
      <c r="A977" s="308"/>
      <c r="B977" s="308"/>
      <c r="C977" s="171" t="str">
        <f>IFERROR(VLOOKUP(C976,Списки!$E:$F,2,0)," ")</f>
        <v xml:space="preserve"> </v>
      </c>
      <c r="D977" s="310"/>
      <c r="E977" s="171" t="str">
        <f>IFERROR(VLOOKUP(E976,Списки!$E:$F,2,0)," ")</f>
        <v xml:space="preserve"> </v>
      </c>
      <c r="F977" s="312"/>
      <c r="G977" s="314"/>
      <c r="H977" s="315"/>
      <c r="I977" s="8"/>
      <c r="J977" s="8"/>
      <c r="K977" s="8"/>
      <c r="L977" s="8"/>
      <c r="M977" s="8"/>
      <c r="N977" s="8"/>
      <c r="O977" s="8"/>
      <c r="P977" s="8"/>
      <c r="Q977" s="8"/>
      <c r="R977" s="8"/>
      <c r="S977" s="8"/>
      <c r="T977" s="82"/>
    </row>
    <row r="978" spans="1:20" ht="13.5" customHeight="1" x14ac:dyDescent="0.25">
      <c r="A978" s="307">
        <v>12</v>
      </c>
      <c r="B978" s="307"/>
      <c r="C978" s="170"/>
      <c r="D978" s="309"/>
      <c r="E978" s="170"/>
      <c r="F978" s="311"/>
      <c r="G978" s="313"/>
      <c r="H978" s="315"/>
      <c r="I978" s="8"/>
      <c r="J978" s="8"/>
      <c r="K978" s="8"/>
      <c r="L978" s="8"/>
      <c r="M978" s="8"/>
      <c r="N978" s="8"/>
      <c r="O978" s="8"/>
      <c r="P978" s="8"/>
      <c r="Q978" s="8"/>
      <c r="R978" s="8"/>
      <c r="S978" s="8"/>
      <c r="T978" s="82"/>
    </row>
    <row r="979" spans="1:20" ht="13.5" customHeight="1" x14ac:dyDescent="0.25">
      <c r="A979" s="308"/>
      <c r="B979" s="308"/>
      <c r="C979" s="171" t="str">
        <f>IFERROR(VLOOKUP(C978,Списки!$E:$F,2,0)," ")</f>
        <v xml:space="preserve"> </v>
      </c>
      <c r="D979" s="310"/>
      <c r="E979" s="171" t="str">
        <f>IFERROR(VLOOKUP(E978,Списки!$E:$F,2,0)," ")</f>
        <v xml:space="preserve"> </v>
      </c>
      <c r="F979" s="312"/>
      <c r="G979" s="314"/>
      <c r="H979" s="315"/>
      <c r="I979" s="8"/>
      <c r="J979" s="8"/>
      <c r="K979" s="8"/>
      <c r="L979" s="8"/>
      <c r="M979" s="8"/>
      <c r="N979" s="8"/>
      <c r="O979" s="8"/>
      <c r="P979" s="8"/>
      <c r="Q979" s="8"/>
      <c r="R979" s="8"/>
      <c r="S979" s="8"/>
      <c r="T979" s="82"/>
    </row>
    <row r="980" spans="1:20" ht="13.5" customHeight="1" x14ac:dyDescent="0.25">
      <c r="A980" s="307">
        <v>13</v>
      </c>
      <c r="B980" s="307"/>
      <c r="C980" s="170"/>
      <c r="D980" s="309"/>
      <c r="E980" s="170"/>
      <c r="F980" s="311"/>
      <c r="G980" s="313"/>
      <c r="H980" s="315"/>
      <c r="I980" s="8"/>
      <c r="J980" s="8"/>
      <c r="K980" s="8"/>
      <c r="L980" s="8"/>
      <c r="M980" s="8"/>
      <c r="N980" s="8"/>
      <c r="O980" s="8"/>
      <c r="P980" s="8"/>
      <c r="Q980" s="8"/>
      <c r="R980" s="8"/>
      <c r="S980" s="8"/>
      <c r="T980" s="82"/>
    </row>
    <row r="981" spans="1:20" ht="13.5" customHeight="1" x14ac:dyDescent="0.25">
      <c r="A981" s="308"/>
      <c r="B981" s="308"/>
      <c r="C981" s="171" t="str">
        <f>IFERROR(VLOOKUP(C980,Списки!$E:$F,2,0)," ")</f>
        <v xml:space="preserve"> </v>
      </c>
      <c r="D981" s="310"/>
      <c r="E981" s="171" t="str">
        <f>IFERROR(VLOOKUP(E980,Списки!$E:$F,2,0)," ")</f>
        <v xml:space="preserve"> </v>
      </c>
      <c r="F981" s="312"/>
      <c r="G981" s="314"/>
      <c r="H981" s="315"/>
      <c r="I981" s="8"/>
      <c r="J981" s="8"/>
      <c r="K981" s="8"/>
      <c r="L981" s="8"/>
      <c r="M981" s="8"/>
      <c r="N981" s="8"/>
      <c r="O981" s="8"/>
      <c r="P981" s="8"/>
      <c r="Q981" s="8"/>
      <c r="R981" s="8"/>
      <c r="S981" s="8"/>
      <c r="T981" s="82"/>
    </row>
    <row r="982" spans="1:20" ht="13.5" customHeight="1" x14ac:dyDescent="0.25">
      <c r="A982" s="307">
        <v>14</v>
      </c>
      <c r="B982" s="307"/>
      <c r="C982" s="170"/>
      <c r="D982" s="309"/>
      <c r="E982" s="170"/>
      <c r="F982" s="311"/>
      <c r="G982" s="313"/>
      <c r="H982" s="315"/>
      <c r="I982" s="8"/>
      <c r="J982" s="8"/>
      <c r="K982" s="8"/>
      <c r="L982" s="8"/>
      <c r="M982" s="8"/>
      <c r="N982" s="8"/>
      <c r="O982" s="8"/>
      <c r="P982" s="8"/>
      <c r="Q982" s="8"/>
      <c r="R982" s="8"/>
      <c r="S982" s="8"/>
      <c r="T982" s="82"/>
    </row>
    <row r="983" spans="1:20" ht="13.5" customHeight="1" x14ac:dyDescent="0.25">
      <c r="A983" s="308"/>
      <c r="B983" s="308"/>
      <c r="C983" s="171" t="str">
        <f>IFERROR(VLOOKUP(C982,Списки!$E:$F,2,0)," ")</f>
        <v xml:space="preserve"> </v>
      </c>
      <c r="D983" s="310"/>
      <c r="E983" s="171" t="str">
        <f>IFERROR(VLOOKUP(E982,Списки!$E:$F,2,0)," ")</f>
        <v xml:space="preserve"> </v>
      </c>
      <c r="F983" s="312"/>
      <c r="G983" s="314"/>
      <c r="H983" s="315"/>
      <c r="I983" s="8"/>
      <c r="J983" s="8"/>
      <c r="K983" s="8"/>
      <c r="L983" s="8"/>
      <c r="M983" s="8"/>
      <c r="N983" s="8"/>
      <c r="O983" s="8"/>
      <c r="P983" s="8"/>
      <c r="Q983" s="8"/>
      <c r="R983" s="8"/>
      <c r="S983" s="8"/>
      <c r="T983" s="82"/>
    </row>
    <row r="984" spans="1:20" ht="13.5" customHeight="1" x14ac:dyDescent="0.25">
      <c r="A984" s="307">
        <v>15</v>
      </c>
      <c r="B984" s="307"/>
      <c r="C984" s="170"/>
      <c r="D984" s="309"/>
      <c r="E984" s="170"/>
      <c r="F984" s="311"/>
      <c r="G984" s="313"/>
      <c r="H984" s="315"/>
      <c r="I984" s="8"/>
      <c r="J984" s="8"/>
      <c r="K984" s="8"/>
      <c r="L984" s="8"/>
      <c r="M984" s="8"/>
      <c r="N984" s="8"/>
      <c r="O984" s="8"/>
      <c r="P984" s="8"/>
      <c r="Q984" s="8"/>
      <c r="R984" s="8"/>
      <c r="S984" s="8"/>
      <c r="T984" s="82"/>
    </row>
    <row r="985" spans="1:20" ht="13.5" customHeight="1" x14ac:dyDescent="0.25">
      <c r="A985" s="308"/>
      <c r="B985" s="308"/>
      <c r="C985" s="171" t="str">
        <f>IFERROR(VLOOKUP(C984,Списки!$E:$F,2,0)," ")</f>
        <v xml:space="preserve"> </v>
      </c>
      <c r="D985" s="310"/>
      <c r="E985" s="171" t="str">
        <f>IFERROR(VLOOKUP(E984,Списки!$E:$F,2,0)," ")</f>
        <v xml:space="preserve"> </v>
      </c>
      <c r="F985" s="312"/>
      <c r="G985" s="314"/>
      <c r="H985" s="315"/>
      <c r="I985" s="8"/>
      <c r="J985" s="8"/>
      <c r="K985" s="8"/>
      <c r="L985" s="8"/>
      <c r="M985" s="8"/>
      <c r="N985" s="8"/>
      <c r="O985" s="8"/>
      <c r="P985" s="8"/>
      <c r="Q985" s="8"/>
      <c r="R985" s="8"/>
      <c r="S985" s="8"/>
      <c r="T985" s="82"/>
    </row>
    <row r="986" spans="1:20" x14ac:dyDescent="0.25">
      <c r="A986" s="36"/>
      <c r="B986" s="37"/>
      <c r="C986" s="173"/>
      <c r="D986" s="173"/>
      <c r="E986" s="174" t="s">
        <v>30</v>
      </c>
      <c r="F986" s="39">
        <f>IFERROR(SUM(IFERROR(IF((LOOKUP(9E+307,F956:F985))&gt;$M$39,(LOOKUP(9E+307,F956:F985))-$M$39,IF((LOOKUP(9E+307,F956:F985))&lt;0.166666667,0+(LOOKUP(9E+307,F956:F985))+1-$M$39,0)),0),(IF(AND(IF(D956,$M$38-D956,0)&gt;0,F956,F956&gt;D956),$M$38-D956,IF(AND(D956,F956,D956&gt;F956),"error",0)))),"ОШИБКА")</f>
        <v>6.944444444444442E-2</v>
      </c>
      <c r="G986" s="40" t="s">
        <v>27</v>
      </c>
      <c r="H986" s="206">
        <f>SUM(H956:H985)</f>
        <v>165</v>
      </c>
      <c r="I986" s="8"/>
      <c r="J986" s="8"/>
      <c r="K986" s="8"/>
      <c r="L986" s="8"/>
      <c r="M986" s="8"/>
      <c r="N986" s="8"/>
      <c r="O986" s="8"/>
      <c r="P986" s="8"/>
      <c r="Q986" s="8"/>
      <c r="R986" s="8"/>
      <c r="S986" s="8"/>
      <c r="T986" s="82"/>
    </row>
    <row r="987" spans="1:20" ht="15.75" x14ac:dyDescent="0.25">
      <c r="A987" s="316">
        <f>DATE(K1,J1,30)</f>
        <v>43860</v>
      </c>
      <c r="B987" s="316"/>
      <c r="C987" s="316"/>
      <c r="D987" s="316"/>
      <c r="E987" s="316"/>
      <c r="F987" s="316"/>
      <c r="G987" s="316"/>
      <c r="H987" s="316"/>
      <c r="I987" s="8"/>
      <c r="J987" s="8"/>
      <c r="K987" s="8"/>
      <c r="L987" s="8"/>
      <c r="M987" s="8"/>
      <c r="N987" s="8"/>
      <c r="O987" s="8"/>
      <c r="P987" s="8"/>
      <c r="Q987" s="8"/>
      <c r="R987" s="8"/>
      <c r="S987" s="8"/>
      <c r="T987" s="82"/>
    </row>
    <row r="988" spans="1:20" ht="13.5" customHeight="1" x14ac:dyDescent="0.25">
      <c r="A988" s="318"/>
      <c r="B988" s="320" t="s">
        <v>34</v>
      </c>
      <c r="C988" s="205" t="s">
        <v>39</v>
      </c>
      <c r="D988" s="322" t="s">
        <v>36</v>
      </c>
      <c r="E988" s="205" t="s">
        <v>37</v>
      </c>
      <c r="F988" s="320" t="s">
        <v>36</v>
      </c>
      <c r="G988" s="324" t="s">
        <v>35</v>
      </c>
      <c r="H988" s="315" t="s">
        <v>40</v>
      </c>
      <c r="I988" s="8"/>
      <c r="J988" s="8"/>
      <c r="K988" s="8"/>
      <c r="L988" s="8"/>
      <c r="M988" s="8"/>
      <c r="N988" s="8"/>
      <c r="O988" s="8"/>
      <c r="P988" s="8"/>
      <c r="Q988" s="8"/>
      <c r="R988" s="8"/>
      <c r="S988" s="8"/>
      <c r="T988" s="82"/>
    </row>
    <row r="989" spans="1:20" ht="13.5" customHeight="1" x14ac:dyDescent="0.25">
      <c r="A989" s="319"/>
      <c r="B989" s="321"/>
      <c r="C989" s="204" t="s">
        <v>38</v>
      </c>
      <c r="D989" s="323"/>
      <c r="E989" s="204" t="s">
        <v>38</v>
      </c>
      <c r="F989" s="321"/>
      <c r="G989" s="325"/>
      <c r="H989" s="315"/>
      <c r="I989" s="8"/>
      <c r="J989" s="8"/>
      <c r="K989" s="8"/>
      <c r="L989" s="8"/>
      <c r="M989" s="8"/>
      <c r="N989" s="8"/>
      <c r="O989" s="8"/>
      <c r="P989" s="8"/>
      <c r="Q989" s="8"/>
      <c r="R989" s="8"/>
      <c r="S989" s="8"/>
      <c r="T989" s="82"/>
    </row>
    <row r="990" spans="1:20" ht="13.5" customHeight="1" x14ac:dyDescent="0.25">
      <c r="A990" s="307">
        <v>1</v>
      </c>
      <c r="B990" s="307"/>
      <c r="C990" s="170" t="s">
        <v>43</v>
      </c>
      <c r="D990" s="309"/>
      <c r="E990" s="170" t="s">
        <v>44</v>
      </c>
      <c r="F990" s="311">
        <v>0.375</v>
      </c>
      <c r="G990" s="313"/>
      <c r="H990" s="315">
        <v>17</v>
      </c>
      <c r="I990" s="8"/>
      <c r="J990" s="8"/>
      <c r="K990" s="8"/>
      <c r="L990" s="8"/>
      <c r="M990" s="8"/>
      <c r="N990" s="8"/>
      <c r="O990" s="8"/>
      <c r="P990" s="8"/>
      <c r="Q990" s="8"/>
      <c r="R990" s="8"/>
      <c r="S990" s="8"/>
      <c r="T990" s="82"/>
    </row>
    <row r="991" spans="1:20" ht="13.5" customHeight="1" x14ac:dyDescent="0.25">
      <c r="A991" s="308"/>
      <c r="B991" s="308"/>
      <c r="C991" s="171" t="str">
        <f>IFERROR(VLOOKUP(C990,Списки!$E:$F,2,0)," ")</f>
        <v>SAVUSHKINA ST 128</v>
      </c>
      <c r="D991" s="310"/>
      <c r="E991" s="171" t="str">
        <f>IFERROR(VLOOKUP(E990,Списки!$E:$F,2,0)," ")</f>
        <v>LEVASHOVSKOE HWY 20</v>
      </c>
      <c r="F991" s="312"/>
      <c r="G991" s="314"/>
      <c r="H991" s="315"/>
      <c r="I991" s="8"/>
      <c r="J991" s="8"/>
      <c r="K991" s="8"/>
      <c r="L991" s="8"/>
      <c r="M991" s="8"/>
      <c r="N991" s="8"/>
      <c r="O991" s="8"/>
      <c r="P991" s="8"/>
      <c r="Q991" s="8"/>
      <c r="R991" s="8"/>
      <c r="S991" s="8"/>
      <c r="T991" s="82"/>
    </row>
    <row r="992" spans="1:20" ht="13.5" customHeight="1" x14ac:dyDescent="0.25">
      <c r="A992" s="307">
        <v>2</v>
      </c>
      <c r="B992" s="307" t="s">
        <v>51</v>
      </c>
      <c r="C992" s="170" t="s">
        <v>44</v>
      </c>
      <c r="D992" s="309">
        <v>0.39583333333333331</v>
      </c>
      <c r="E992" s="267" t="s">
        <v>426</v>
      </c>
      <c r="F992" s="311">
        <v>0.41666666666666669</v>
      </c>
      <c r="G992" s="313" t="s">
        <v>425</v>
      </c>
      <c r="H992" s="315" t="s">
        <v>338</v>
      </c>
      <c r="I992" s="8"/>
      <c r="J992" s="8"/>
      <c r="K992" s="8"/>
      <c r="L992" s="8"/>
      <c r="M992" s="8"/>
      <c r="N992" s="8"/>
      <c r="O992" s="8"/>
      <c r="P992" s="8"/>
      <c r="Q992" s="8"/>
      <c r="R992" s="8"/>
      <c r="S992" s="8"/>
      <c r="T992" s="82"/>
    </row>
    <row r="993" spans="1:20" ht="13.5" customHeight="1" x14ac:dyDescent="0.25">
      <c r="A993" s="308"/>
      <c r="B993" s="308"/>
      <c r="C993" s="171" t="str">
        <f>IFERROR(VLOOKUP(C992,Списки!$E:$F,2,0)," ")</f>
        <v>LEVASHOVSKOE HWY 20</v>
      </c>
      <c r="D993" s="310"/>
      <c r="E993" s="266" t="s">
        <v>424</v>
      </c>
      <c r="F993" s="312"/>
      <c r="G993" s="314"/>
      <c r="H993" s="315"/>
      <c r="I993" s="8"/>
      <c r="J993" s="8"/>
      <c r="K993" s="8"/>
      <c r="L993" s="8"/>
      <c r="M993" s="8"/>
      <c r="N993" s="8"/>
      <c r="O993" s="8"/>
      <c r="P993" s="8"/>
      <c r="Q993" s="8"/>
      <c r="R993" s="8"/>
      <c r="S993" s="8"/>
      <c r="T993" s="82"/>
    </row>
    <row r="994" spans="1:20" ht="13.5" customHeight="1" x14ac:dyDescent="0.25">
      <c r="A994" s="307">
        <v>3</v>
      </c>
      <c r="B994" s="307"/>
      <c r="C994" s="267" t="s">
        <v>426</v>
      </c>
      <c r="D994" s="309">
        <v>0.47916666666666669</v>
      </c>
      <c r="E994" s="267" t="s">
        <v>44</v>
      </c>
      <c r="F994" s="311">
        <v>0.5</v>
      </c>
      <c r="G994" s="313"/>
      <c r="H994" s="315" t="s">
        <v>338</v>
      </c>
      <c r="I994" s="8"/>
      <c r="J994" s="8"/>
      <c r="K994" s="8"/>
      <c r="L994" s="8"/>
      <c r="M994" s="8"/>
      <c r="N994" s="8"/>
      <c r="O994" s="8"/>
      <c r="P994" s="8"/>
      <c r="Q994" s="8"/>
      <c r="R994" s="8"/>
      <c r="S994" s="8"/>
      <c r="T994" s="82"/>
    </row>
    <row r="995" spans="1:20" ht="13.5" customHeight="1" x14ac:dyDescent="0.25">
      <c r="A995" s="308"/>
      <c r="B995" s="308"/>
      <c r="C995" s="266" t="s">
        <v>424</v>
      </c>
      <c r="D995" s="310"/>
      <c r="E995" s="171" t="str">
        <f>IFERROR(VLOOKUP(E994,Списки!$E:$F,2,0)," ")</f>
        <v>LEVASHOVSKOE HWY 20</v>
      </c>
      <c r="F995" s="312"/>
      <c r="G995" s="314"/>
      <c r="H995" s="315"/>
      <c r="I995" s="8"/>
      <c r="J995" s="8"/>
      <c r="K995" s="8"/>
      <c r="L995" s="8"/>
      <c r="M995" s="8"/>
      <c r="N995" s="8"/>
      <c r="O995" s="8"/>
      <c r="P995" s="8"/>
      <c r="Q995" s="8"/>
      <c r="R995" s="8"/>
      <c r="S995" s="8"/>
      <c r="T995" s="82"/>
    </row>
    <row r="996" spans="1:20" ht="13.5" customHeight="1" x14ac:dyDescent="0.25">
      <c r="A996" s="307">
        <v>4</v>
      </c>
      <c r="B996" s="307" t="s">
        <v>105</v>
      </c>
      <c r="C996" s="267" t="s">
        <v>44</v>
      </c>
      <c r="D996" s="309">
        <v>0.51388888888888895</v>
      </c>
      <c r="E996" s="267" t="s">
        <v>256</v>
      </c>
      <c r="F996" s="311">
        <v>0.52777777777777779</v>
      </c>
      <c r="G996" s="313" t="s">
        <v>131</v>
      </c>
      <c r="H996" s="315">
        <v>19</v>
      </c>
      <c r="I996" s="8"/>
      <c r="J996" s="8"/>
      <c r="K996" s="8"/>
      <c r="L996" s="8"/>
      <c r="M996" s="8"/>
      <c r="N996" s="8"/>
      <c r="O996" s="8"/>
      <c r="P996" s="8"/>
      <c r="Q996" s="8"/>
      <c r="R996" s="8"/>
      <c r="S996" s="8"/>
      <c r="T996" s="82"/>
    </row>
    <row r="997" spans="1:20" ht="13.5" customHeight="1" x14ac:dyDescent="0.25">
      <c r="A997" s="308"/>
      <c r="B997" s="308"/>
      <c r="C997" s="171" t="str">
        <f>IFERROR(VLOOKUP(C996,Списки!$E:$F,2,0)," ")</f>
        <v>LEVASHOVSKOE HWY 20</v>
      </c>
      <c r="D997" s="310"/>
      <c r="E997" s="266" t="s">
        <v>428</v>
      </c>
      <c r="F997" s="312"/>
      <c r="G997" s="314"/>
      <c r="H997" s="315"/>
      <c r="I997" s="8"/>
      <c r="J997" s="8"/>
      <c r="K997" s="8"/>
      <c r="L997" s="8"/>
      <c r="M997" s="8"/>
      <c r="N997" s="8"/>
      <c r="O997" s="8"/>
      <c r="P997" s="8"/>
      <c r="Q997" s="8"/>
      <c r="R997" s="8"/>
      <c r="S997" s="8"/>
      <c r="T997" s="82"/>
    </row>
    <row r="998" spans="1:20" ht="13.5" customHeight="1" x14ac:dyDescent="0.25">
      <c r="A998" s="307">
        <v>5</v>
      </c>
      <c r="B998" s="307"/>
      <c r="C998" s="267" t="s">
        <v>256</v>
      </c>
      <c r="D998" s="309">
        <v>0.54861111111111105</v>
      </c>
      <c r="E998" s="268" t="s">
        <v>44</v>
      </c>
      <c r="F998" s="311">
        <v>0.69444444444444453</v>
      </c>
      <c r="G998" s="313"/>
      <c r="H998" s="315">
        <v>18</v>
      </c>
      <c r="I998" s="8"/>
      <c r="J998" s="8"/>
      <c r="K998" s="8"/>
      <c r="L998" s="8"/>
      <c r="M998" s="8"/>
      <c r="N998" s="8"/>
      <c r="O998" s="8"/>
      <c r="P998" s="8"/>
      <c r="Q998" s="8"/>
      <c r="R998" s="8"/>
      <c r="S998" s="8"/>
      <c r="T998" s="82"/>
    </row>
    <row r="999" spans="1:20" ht="13.5" customHeight="1" x14ac:dyDescent="0.25">
      <c r="A999" s="308"/>
      <c r="B999" s="308"/>
      <c r="C999" s="266" t="s">
        <v>428</v>
      </c>
      <c r="D999" s="310"/>
      <c r="E999" s="172" t="str">
        <f>IFERROR(VLOOKUP(E998,Списки!$E:$F,2,0)," ")</f>
        <v>LEVASHOVSKOE HWY 20</v>
      </c>
      <c r="F999" s="312"/>
      <c r="G999" s="314"/>
      <c r="H999" s="315"/>
      <c r="I999" s="8"/>
      <c r="J999" s="8"/>
      <c r="K999" s="8"/>
      <c r="L999" s="8"/>
      <c r="M999" s="8"/>
      <c r="N999" s="8"/>
      <c r="O999" s="8"/>
      <c r="P999" s="8"/>
      <c r="Q999" s="8"/>
      <c r="R999" s="8"/>
      <c r="S999" s="8"/>
      <c r="T999" s="82"/>
    </row>
    <row r="1000" spans="1:20" ht="13.5" customHeight="1" x14ac:dyDescent="0.25">
      <c r="A1000" s="307">
        <v>6</v>
      </c>
      <c r="B1000" s="307" t="s">
        <v>142</v>
      </c>
      <c r="C1000" s="268" t="s">
        <v>44</v>
      </c>
      <c r="D1000" s="309">
        <v>0.72222222222222221</v>
      </c>
      <c r="E1000" s="267" t="s">
        <v>383</v>
      </c>
      <c r="F1000" s="311">
        <v>0.75</v>
      </c>
      <c r="G1000" s="313"/>
      <c r="H1000" s="315">
        <v>24</v>
      </c>
      <c r="I1000" s="8"/>
      <c r="J1000" s="8"/>
      <c r="K1000" s="8"/>
      <c r="L1000" s="8"/>
      <c r="M1000" s="8"/>
      <c r="N1000" s="8"/>
      <c r="O1000" s="8"/>
      <c r="P1000" s="8"/>
      <c r="Q1000" s="8"/>
      <c r="R1000" s="8"/>
      <c r="S1000" s="8"/>
      <c r="T1000" s="82"/>
    </row>
    <row r="1001" spans="1:20" ht="13.5" customHeight="1" x14ac:dyDescent="0.25">
      <c r="A1001" s="308"/>
      <c r="B1001" s="308"/>
      <c r="C1001" s="171" t="str">
        <f>IFERROR(VLOOKUP(C1000,Списки!$E:$F,2,0)," ")</f>
        <v>LEVASHOVSKOE HWY 20</v>
      </c>
      <c r="D1001" s="310"/>
      <c r="E1001" s="179" t="s">
        <v>427</v>
      </c>
      <c r="F1001" s="312"/>
      <c r="G1001" s="314"/>
      <c r="H1001" s="315"/>
      <c r="I1001" s="8"/>
      <c r="J1001" s="8"/>
      <c r="K1001" s="8"/>
      <c r="L1001" s="8"/>
      <c r="M1001" s="8"/>
      <c r="N1001" s="8"/>
      <c r="O1001" s="8"/>
      <c r="P1001" s="8"/>
      <c r="Q1001" s="8"/>
      <c r="R1001" s="8"/>
      <c r="S1001" s="8"/>
      <c r="T1001" s="82"/>
    </row>
    <row r="1002" spans="1:20" ht="13.5" customHeight="1" x14ac:dyDescent="0.25">
      <c r="A1002" s="307">
        <v>7</v>
      </c>
      <c r="B1002" s="307"/>
      <c r="C1002" s="267" t="s">
        <v>383</v>
      </c>
      <c r="D1002" s="309">
        <v>0.75</v>
      </c>
      <c r="E1002" s="267" t="s">
        <v>45</v>
      </c>
      <c r="F1002" s="311">
        <v>0.78472222222222221</v>
      </c>
      <c r="G1002" s="313"/>
      <c r="H1002" s="315">
        <v>15</v>
      </c>
      <c r="I1002" s="8"/>
      <c r="J1002" s="8"/>
      <c r="K1002" s="8"/>
      <c r="L1002" s="8"/>
      <c r="M1002" s="8"/>
      <c r="N1002" s="8"/>
      <c r="O1002" s="8"/>
      <c r="P1002" s="8"/>
      <c r="Q1002" s="8"/>
      <c r="R1002" s="8"/>
      <c r="S1002" s="8"/>
      <c r="T1002" s="82"/>
    </row>
    <row r="1003" spans="1:20" ht="13.5" customHeight="1" x14ac:dyDescent="0.25">
      <c r="A1003" s="308"/>
      <c r="B1003" s="308"/>
      <c r="C1003" s="179" t="s">
        <v>427</v>
      </c>
      <c r="D1003" s="310"/>
      <c r="E1003" s="171" t="str">
        <f>IFERROR(VLOOKUP(E1002,Списки!$E:$F,2,0)," ")</f>
        <v>SAVUSHKINA ST 128</v>
      </c>
      <c r="F1003" s="312"/>
      <c r="G1003" s="314"/>
      <c r="H1003" s="315"/>
      <c r="I1003" s="8"/>
      <c r="J1003" s="8"/>
      <c r="K1003" s="8"/>
      <c r="L1003" s="8"/>
      <c r="M1003" s="8"/>
      <c r="N1003" s="8"/>
      <c r="O1003" s="8"/>
      <c r="P1003" s="8"/>
      <c r="Q1003" s="8"/>
      <c r="R1003" s="8"/>
      <c r="S1003" s="8"/>
      <c r="T1003" s="82"/>
    </row>
    <row r="1004" spans="1:20" ht="13.5" customHeight="1" x14ac:dyDescent="0.25">
      <c r="A1004" s="307">
        <v>8</v>
      </c>
      <c r="B1004" s="307"/>
      <c r="C1004" s="170"/>
      <c r="D1004" s="309"/>
      <c r="E1004" s="170"/>
      <c r="F1004" s="311"/>
      <c r="G1004" s="313"/>
      <c r="H1004" s="315"/>
      <c r="I1004" s="8"/>
      <c r="J1004" s="8"/>
      <c r="K1004" s="8"/>
      <c r="L1004" s="8"/>
      <c r="M1004" s="8"/>
      <c r="N1004" s="8"/>
      <c r="O1004" s="8"/>
      <c r="P1004" s="8"/>
      <c r="Q1004" s="8"/>
      <c r="R1004" s="8"/>
      <c r="S1004" s="8"/>
      <c r="T1004" s="82"/>
    </row>
    <row r="1005" spans="1:20" ht="13.5" customHeight="1" x14ac:dyDescent="0.25">
      <c r="A1005" s="308"/>
      <c r="B1005" s="308"/>
      <c r="C1005" s="179" t="str">
        <f>IFERROR(VLOOKUP(C1004,Списки!$E:$F,2,0)," ")</f>
        <v xml:space="preserve"> </v>
      </c>
      <c r="D1005" s="310"/>
      <c r="E1005" s="171" t="str">
        <f>IFERROR(VLOOKUP(E1004,Списки!$E:$F,2,0)," ")</f>
        <v xml:space="preserve"> </v>
      </c>
      <c r="F1005" s="312"/>
      <c r="G1005" s="314"/>
      <c r="H1005" s="315"/>
      <c r="I1005" s="8"/>
      <c r="J1005" s="8"/>
      <c r="K1005" s="8"/>
      <c r="L1005" s="8"/>
      <c r="M1005" s="8"/>
      <c r="N1005" s="8"/>
      <c r="O1005" s="8"/>
      <c r="P1005" s="8"/>
      <c r="Q1005" s="8"/>
      <c r="R1005" s="8"/>
      <c r="S1005" s="8"/>
      <c r="T1005" s="82"/>
    </row>
    <row r="1006" spans="1:20" ht="13.5" customHeight="1" x14ac:dyDescent="0.25">
      <c r="A1006" s="307">
        <v>9</v>
      </c>
      <c r="B1006" s="307"/>
      <c r="C1006" s="170"/>
      <c r="D1006" s="309"/>
      <c r="E1006" s="170"/>
      <c r="F1006" s="311"/>
      <c r="G1006" s="313"/>
      <c r="H1006" s="315"/>
      <c r="I1006" s="8"/>
      <c r="J1006" s="8"/>
      <c r="K1006" s="8"/>
      <c r="L1006" s="8"/>
      <c r="M1006" s="8"/>
      <c r="N1006" s="8"/>
      <c r="O1006" s="8"/>
      <c r="P1006" s="8"/>
      <c r="Q1006" s="8"/>
      <c r="R1006" s="8"/>
      <c r="S1006" s="8"/>
      <c r="T1006" s="82"/>
    </row>
    <row r="1007" spans="1:20" ht="13.5" customHeight="1" x14ac:dyDescent="0.25">
      <c r="A1007" s="308"/>
      <c r="B1007" s="308"/>
      <c r="C1007" s="171" t="str">
        <f>IFERROR(VLOOKUP(C1006,Списки!$E:$F,2,0)," ")</f>
        <v xml:space="preserve"> </v>
      </c>
      <c r="D1007" s="310"/>
      <c r="E1007" s="171" t="str">
        <f>IFERROR(VLOOKUP(E1006,Списки!$E:$F,2,0)," ")</f>
        <v xml:space="preserve"> </v>
      </c>
      <c r="F1007" s="312"/>
      <c r="G1007" s="314"/>
      <c r="H1007" s="315"/>
      <c r="I1007" s="8"/>
      <c r="J1007" s="8"/>
      <c r="K1007" s="8"/>
      <c r="L1007" s="8"/>
      <c r="M1007" s="8"/>
      <c r="N1007" s="8"/>
      <c r="O1007" s="8"/>
      <c r="P1007" s="8"/>
      <c r="Q1007" s="8"/>
      <c r="R1007" s="8"/>
      <c r="S1007" s="8"/>
      <c r="T1007" s="82"/>
    </row>
    <row r="1008" spans="1:20" ht="13.5" customHeight="1" x14ac:dyDescent="0.25">
      <c r="A1008" s="307">
        <v>10</v>
      </c>
      <c r="B1008" s="307"/>
      <c r="C1008" s="170"/>
      <c r="D1008" s="309"/>
      <c r="E1008" s="170"/>
      <c r="F1008" s="311"/>
      <c r="G1008" s="313"/>
      <c r="H1008" s="315"/>
      <c r="I1008" s="8"/>
      <c r="J1008" s="8"/>
      <c r="K1008" s="8"/>
      <c r="L1008" s="8"/>
      <c r="M1008" s="8"/>
      <c r="N1008" s="8"/>
      <c r="O1008" s="8"/>
      <c r="P1008" s="8"/>
      <c r="Q1008" s="8"/>
      <c r="R1008" s="8"/>
      <c r="S1008" s="8"/>
      <c r="T1008" s="82"/>
    </row>
    <row r="1009" spans="1:20" ht="13.5" customHeight="1" x14ac:dyDescent="0.25">
      <c r="A1009" s="308"/>
      <c r="B1009" s="308"/>
      <c r="C1009" s="171" t="str">
        <f>IFERROR(VLOOKUP(C1008,Списки!$E:$F,2,0)," ")</f>
        <v xml:space="preserve"> </v>
      </c>
      <c r="D1009" s="310"/>
      <c r="E1009" s="171" t="str">
        <f>IFERROR(VLOOKUP(E1008,Списки!$E:$F,2,0)," ")</f>
        <v xml:space="preserve"> </v>
      </c>
      <c r="F1009" s="312"/>
      <c r="G1009" s="314"/>
      <c r="H1009" s="315"/>
      <c r="I1009" s="8"/>
      <c r="J1009" s="8"/>
      <c r="K1009" s="8"/>
      <c r="L1009" s="8"/>
      <c r="M1009" s="8"/>
      <c r="N1009" s="8"/>
      <c r="O1009" s="8"/>
      <c r="P1009" s="8"/>
      <c r="Q1009" s="8"/>
      <c r="R1009" s="8"/>
      <c r="S1009" s="8"/>
      <c r="T1009" s="82"/>
    </row>
    <row r="1010" spans="1:20" ht="13.5" customHeight="1" x14ac:dyDescent="0.25">
      <c r="A1010" s="307">
        <v>11</v>
      </c>
      <c r="B1010" s="307"/>
      <c r="C1010" s="170"/>
      <c r="D1010" s="309"/>
      <c r="E1010" s="170"/>
      <c r="F1010" s="311"/>
      <c r="G1010" s="313"/>
      <c r="H1010" s="315"/>
      <c r="I1010" s="8"/>
      <c r="J1010" s="8"/>
      <c r="K1010" s="8"/>
      <c r="L1010" s="8"/>
      <c r="M1010" s="8"/>
      <c r="N1010" s="8"/>
      <c r="O1010" s="8"/>
      <c r="P1010" s="8"/>
      <c r="Q1010" s="8"/>
      <c r="R1010" s="8"/>
      <c r="S1010" s="8"/>
      <c r="T1010" s="82"/>
    </row>
    <row r="1011" spans="1:20" ht="13.5" customHeight="1" x14ac:dyDescent="0.25">
      <c r="A1011" s="308"/>
      <c r="B1011" s="308"/>
      <c r="C1011" s="171" t="str">
        <f>IFERROR(VLOOKUP(C1010,Списки!$E:$F,2,0)," ")</f>
        <v xml:space="preserve"> </v>
      </c>
      <c r="D1011" s="310"/>
      <c r="E1011" s="171" t="str">
        <f>IFERROR(VLOOKUP(E1010,Списки!$E:$F,2,0)," ")</f>
        <v xml:space="preserve"> </v>
      </c>
      <c r="F1011" s="312"/>
      <c r="G1011" s="314"/>
      <c r="H1011" s="315"/>
      <c r="I1011" s="8"/>
      <c r="J1011" s="8"/>
      <c r="K1011" s="8"/>
      <c r="L1011" s="8"/>
      <c r="M1011" s="8"/>
      <c r="N1011" s="8"/>
      <c r="O1011" s="8"/>
      <c r="P1011" s="8"/>
      <c r="Q1011" s="8"/>
      <c r="R1011" s="8"/>
      <c r="S1011" s="8"/>
      <c r="T1011" s="82"/>
    </row>
    <row r="1012" spans="1:20" ht="13.5" customHeight="1" x14ac:dyDescent="0.25">
      <c r="A1012" s="307">
        <v>12</v>
      </c>
      <c r="B1012" s="307"/>
      <c r="C1012" s="170"/>
      <c r="D1012" s="309"/>
      <c r="E1012" s="170"/>
      <c r="F1012" s="311"/>
      <c r="G1012" s="313"/>
      <c r="H1012" s="315"/>
      <c r="I1012" s="8"/>
      <c r="J1012" s="8"/>
      <c r="K1012" s="8"/>
      <c r="L1012" s="8"/>
      <c r="M1012" s="8"/>
      <c r="N1012" s="8"/>
      <c r="O1012" s="8"/>
      <c r="P1012" s="8"/>
      <c r="Q1012" s="8"/>
      <c r="R1012" s="8"/>
      <c r="S1012" s="8"/>
      <c r="T1012" s="82"/>
    </row>
    <row r="1013" spans="1:20" ht="13.5" customHeight="1" x14ac:dyDescent="0.25">
      <c r="A1013" s="308"/>
      <c r="B1013" s="308"/>
      <c r="C1013" s="171" t="str">
        <f>IFERROR(VLOOKUP(C1012,Списки!$E:$F,2,0)," ")</f>
        <v xml:space="preserve"> </v>
      </c>
      <c r="D1013" s="310"/>
      <c r="E1013" s="171" t="str">
        <f>IFERROR(VLOOKUP(E1012,Списки!$E:$F,2,0)," ")</f>
        <v xml:space="preserve"> </v>
      </c>
      <c r="F1013" s="312"/>
      <c r="G1013" s="314"/>
      <c r="H1013" s="315"/>
      <c r="I1013" s="8"/>
      <c r="J1013" s="8"/>
      <c r="K1013" s="8"/>
      <c r="L1013" s="8"/>
      <c r="M1013" s="8"/>
      <c r="N1013" s="8"/>
      <c r="O1013" s="8"/>
      <c r="P1013" s="8"/>
      <c r="Q1013" s="8"/>
      <c r="R1013" s="8"/>
      <c r="S1013" s="8"/>
      <c r="T1013" s="82"/>
    </row>
    <row r="1014" spans="1:20" ht="13.5" customHeight="1" x14ac:dyDescent="0.25">
      <c r="A1014" s="307">
        <v>13</v>
      </c>
      <c r="B1014" s="307"/>
      <c r="C1014" s="170"/>
      <c r="D1014" s="309"/>
      <c r="E1014" s="170"/>
      <c r="F1014" s="311"/>
      <c r="G1014" s="313"/>
      <c r="H1014" s="315"/>
      <c r="I1014" s="8"/>
      <c r="J1014" s="8"/>
      <c r="K1014" s="8"/>
      <c r="L1014" s="8"/>
      <c r="M1014" s="8"/>
      <c r="N1014" s="8"/>
      <c r="O1014" s="8"/>
      <c r="P1014" s="8"/>
      <c r="Q1014" s="8"/>
      <c r="R1014" s="8"/>
      <c r="S1014" s="8"/>
      <c r="T1014" s="82"/>
    </row>
    <row r="1015" spans="1:20" ht="13.5" customHeight="1" x14ac:dyDescent="0.25">
      <c r="A1015" s="308"/>
      <c r="B1015" s="308"/>
      <c r="C1015" s="171" t="str">
        <f>IFERROR(VLOOKUP(C1014,Списки!$E:$F,2,0)," ")</f>
        <v xml:space="preserve"> </v>
      </c>
      <c r="D1015" s="310"/>
      <c r="E1015" s="171" t="str">
        <f>IFERROR(VLOOKUP(E1014,Списки!$E:$F,2,0)," ")</f>
        <v xml:space="preserve"> </v>
      </c>
      <c r="F1015" s="312"/>
      <c r="G1015" s="314"/>
      <c r="H1015" s="315"/>
      <c r="I1015" s="8"/>
      <c r="J1015" s="8"/>
      <c r="K1015" s="8"/>
      <c r="L1015" s="8"/>
      <c r="M1015" s="8"/>
      <c r="N1015" s="8"/>
      <c r="O1015" s="8"/>
      <c r="P1015" s="8"/>
      <c r="Q1015" s="8"/>
      <c r="R1015" s="8"/>
      <c r="S1015" s="8"/>
      <c r="T1015" s="82"/>
    </row>
    <row r="1016" spans="1:20" ht="13.5" customHeight="1" x14ac:dyDescent="0.25">
      <c r="A1016" s="307">
        <v>14</v>
      </c>
      <c r="B1016" s="307"/>
      <c r="C1016" s="170"/>
      <c r="D1016" s="309"/>
      <c r="E1016" s="170"/>
      <c r="F1016" s="311"/>
      <c r="G1016" s="313"/>
      <c r="H1016" s="315"/>
      <c r="I1016" s="8"/>
      <c r="J1016" s="8"/>
      <c r="K1016" s="8"/>
      <c r="L1016" s="8"/>
      <c r="M1016" s="8"/>
      <c r="N1016" s="8"/>
      <c r="O1016" s="8"/>
      <c r="P1016" s="8"/>
      <c r="Q1016" s="8"/>
      <c r="R1016" s="8"/>
      <c r="S1016" s="8"/>
      <c r="T1016" s="82"/>
    </row>
    <row r="1017" spans="1:20" ht="13.5" customHeight="1" x14ac:dyDescent="0.25">
      <c r="A1017" s="308"/>
      <c r="B1017" s="308"/>
      <c r="C1017" s="171" t="str">
        <f>IFERROR(VLOOKUP(C1016,Списки!$E:$F,2,0)," ")</f>
        <v xml:space="preserve"> </v>
      </c>
      <c r="D1017" s="310"/>
      <c r="E1017" s="171" t="str">
        <f>IFERROR(VLOOKUP(E1016,Списки!$E:$F,2,0)," ")</f>
        <v xml:space="preserve"> </v>
      </c>
      <c r="F1017" s="312"/>
      <c r="G1017" s="314"/>
      <c r="H1017" s="315"/>
      <c r="I1017" s="8"/>
      <c r="J1017" s="8"/>
      <c r="K1017" s="8"/>
      <c r="L1017" s="8"/>
      <c r="M1017" s="8"/>
      <c r="N1017" s="8"/>
      <c r="O1017" s="8"/>
      <c r="P1017" s="8"/>
      <c r="Q1017" s="8"/>
      <c r="R1017" s="8"/>
      <c r="S1017" s="8"/>
      <c r="T1017" s="82"/>
    </row>
    <row r="1018" spans="1:20" ht="13.5" customHeight="1" x14ac:dyDescent="0.25">
      <c r="A1018" s="307">
        <v>15</v>
      </c>
      <c r="B1018" s="307"/>
      <c r="C1018" s="170"/>
      <c r="D1018" s="309"/>
      <c r="E1018" s="170"/>
      <c r="F1018" s="311"/>
      <c r="G1018" s="313"/>
      <c r="H1018" s="315"/>
      <c r="I1018" s="8"/>
      <c r="J1018" s="8"/>
      <c r="K1018" s="8"/>
      <c r="L1018" s="8"/>
      <c r="M1018" s="8"/>
      <c r="N1018" s="8"/>
      <c r="O1018" s="8"/>
      <c r="P1018" s="8"/>
      <c r="Q1018" s="8"/>
      <c r="R1018" s="8"/>
      <c r="S1018" s="8"/>
      <c r="T1018" s="82"/>
    </row>
    <row r="1019" spans="1:20" ht="13.5" customHeight="1" x14ac:dyDescent="0.25">
      <c r="A1019" s="308"/>
      <c r="B1019" s="308"/>
      <c r="C1019" s="171" t="str">
        <f>IFERROR(VLOOKUP(C1018,Списки!$E:$F,2,0)," ")</f>
        <v xml:space="preserve"> </v>
      </c>
      <c r="D1019" s="310"/>
      <c r="E1019" s="171" t="str">
        <f>IFERROR(VLOOKUP(E1018,Списки!$E:$F,2,0)," ")</f>
        <v xml:space="preserve"> </v>
      </c>
      <c r="F1019" s="312"/>
      <c r="G1019" s="314"/>
      <c r="H1019" s="315"/>
      <c r="I1019" s="8"/>
      <c r="J1019" s="8"/>
      <c r="K1019" s="8"/>
      <c r="L1019" s="8"/>
      <c r="M1019" s="8"/>
      <c r="N1019" s="8"/>
      <c r="O1019" s="8"/>
      <c r="P1019" s="8"/>
      <c r="Q1019" s="8"/>
      <c r="R1019" s="8"/>
      <c r="S1019" s="8"/>
      <c r="T1019" s="82"/>
    </row>
    <row r="1020" spans="1:20" x14ac:dyDescent="0.25">
      <c r="A1020" s="36"/>
      <c r="B1020" s="37"/>
      <c r="C1020" s="173"/>
      <c r="D1020" s="173"/>
      <c r="E1020" s="174" t="s">
        <v>30</v>
      </c>
      <c r="F1020" s="39">
        <f>IFERROR(SUM(IFERROR(IF((LOOKUP(9E+307,F990:F1019))&gt;$M$39,(LOOKUP(9E+307,F990:F1019))-$M$39,IF((LOOKUP(9E+307,F990:F1019))&lt;0.166666667,0+(LOOKUP(9E+307,F990:F1019))+1-$M$39,0)),0),(IF(AND(IF(D990,$M$38-D990,0)&gt;0,F990,F990&gt;D990),$M$38-D990,IF(AND(D990,F990,D990&gt;F990),"error",0)))),"ОШИБКА")</f>
        <v>7.638888888888884E-2</v>
      </c>
      <c r="G1020" s="40" t="s">
        <v>27</v>
      </c>
      <c r="H1020" s="206">
        <f>SUM(H990:H1019)</f>
        <v>93</v>
      </c>
      <c r="I1020" s="8"/>
      <c r="J1020" s="8"/>
      <c r="K1020" s="8"/>
      <c r="L1020" s="8"/>
      <c r="M1020" s="8"/>
      <c r="N1020" s="8"/>
      <c r="O1020" s="8"/>
      <c r="P1020" s="8"/>
      <c r="Q1020" s="8"/>
      <c r="R1020" s="8"/>
      <c r="S1020" s="8"/>
      <c r="T1020" s="82"/>
    </row>
    <row r="1021" spans="1:20" ht="15.75" x14ac:dyDescent="0.25">
      <c r="A1021" s="316">
        <f>DATE(K1,J1,31)</f>
        <v>43861</v>
      </c>
      <c r="B1021" s="316"/>
      <c r="C1021" s="316"/>
      <c r="D1021" s="316"/>
      <c r="E1021" s="316"/>
      <c r="F1021" s="316"/>
      <c r="G1021" s="316"/>
      <c r="H1021" s="316"/>
      <c r="I1021" s="8"/>
      <c r="J1021" s="8"/>
      <c r="K1021" s="8"/>
      <c r="L1021" s="8"/>
      <c r="M1021" s="8"/>
      <c r="N1021" s="8"/>
      <c r="O1021" s="8"/>
      <c r="P1021" s="8"/>
      <c r="Q1021" s="8"/>
      <c r="R1021" s="8"/>
      <c r="S1021" s="8"/>
      <c r="T1021" s="82"/>
    </row>
    <row r="1022" spans="1:20" ht="13.5" customHeight="1" x14ac:dyDescent="0.25">
      <c r="A1022" s="318"/>
      <c r="B1022" s="320" t="s">
        <v>34</v>
      </c>
      <c r="C1022" s="205" t="s">
        <v>39</v>
      </c>
      <c r="D1022" s="322" t="s">
        <v>36</v>
      </c>
      <c r="E1022" s="205" t="s">
        <v>37</v>
      </c>
      <c r="F1022" s="320" t="s">
        <v>36</v>
      </c>
      <c r="G1022" s="324" t="s">
        <v>35</v>
      </c>
      <c r="H1022" s="315" t="s">
        <v>40</v>
      </c>
      <c r="I1022" s="8"/>
      <c r="J1022" s="8"/>
      <c r="K1022" s="8"/>
      <c r="L1022" s="8"/>
      <c r="M1022" s="8"/>
      <c r="N1022" s="8"/>
      <c r="O1022" s="8"/>
      <c r="P1022" s="8"/>
      <c r="Q1022" s="8"/>
      <c r="R1022" s="8"/>
      <c r="S1022" s="8"/>
      <c r="T1022" s="82"/>
    </row>
    <row r="1023" spans="1:20" ht="13.5" customHeight="1" x14ac:dyDescent="0.25">
      <c r="A1023" s="319"/>
      <c r="B1023" s="321"/>
      <c r="C1023" s="204" t="s">
        <v>38</v>
      </c>
      <c r="D1023" s="323"/>
      <c r="E1023" s="204" t="s">
        <v>38</v>
      </c>
      <c r="F1023" s="321"/>
      <c r="G1023" s="325"/>
      <c r="H1023" s="315"/>
      <c r="I1023" s="8"/>
      <c r="J1023" s="8"/>
      <c r="K1023" s="8"/>
      <c r="L1023" s="8"/>
      <c r="M1023" s="8"/>
      <c r="N1023" s="8"/>
      <c r="O1023" s="8"/>
      <c r="P1023" s="8"/>
      <c r="Q1023" s="8"/>
      <c r="R1023" s="8"/>
      <c r="S1023" s="8"/>
      <c r="T1023" s="82"/>
    </row>
    <row r="1024" spans="1:20" ht="13.5" customHeight="1" x14ac:dyDescent="0.25">
      <c r="A1024" s="307">
        <v>1</v>
      </c>
      <c r="B1024" s="307"/>
      <c r="C1024" s="170" t="s">
        <v>43</v>
      </c>
      <c r="D1024" s="309"/>
      <c r="E1024" s="170" t="s">
        <v>44</v>
      </c>
      <c r="F1024" s="311">
        <v>0.375</v>
      </c>
      <c r="G1024" s="313"/>
      <c r="H1024" s="315">
        <v>17</v>
      </c>
      <c r="I1024" s="8"/>
      <c r="J1024" s="8"/>
      <c r="K1024" s="8"/>
      <c r="L1024" s="8"/>
      <c r="M1024" s="8"/>
      <c r="N1024" s="8"/>
      <c r="O1024" s="8"/>
      <c r="P1024" s="8"/>
      <c r="Q1024" s="8"/>
      <c r="R1024" s="8"/>
      <c r="S1024" s="8"/>
      <c r="T1024" s="82"/>
    </row>
    <row r="1025" spans="1:20" ht="13.5" customHeight="1" x14ac:dyDescent="0.25">
      <c r="A1025" s="308"/>
      <c r="B1025" s="308"/>
      <c r="C1025" s="171" t="str">
        <f>IFERROR(VLOOKUP(C1024,Списки!$E:$F,2,0)," ")</f>
        <v>SAVUSHKINA ST 128</v>
      </c>
      <c r="D1025" s="310"/>
      <c r="E1025" s="171" t="str">
        <f>IFERROR(VLOOKUP(E1024,Списки!$E:$F,2,0)," ")</f>
        <v>LEVASHOVSKOE HWY 20</v>
      </c>
      <c r="F1025" s="312"/>
      <c r="G1025" s="314"/>
      <c r="H1025" s="315"/>
      <c r="I1025" s="8"/>
      <c r="J1025" s="8"/>
      <c r="K1025" s="8"/>
      <c r="L1025" s="8"/>
      <c r="M1025" s="8"/>
      <c r="N1025" s="8"/>
      <c r="O1025" s="8"/>
      <c r="P1025" s="8"/>
      <c r="Q1025" s="8"/>
      <c r="R1025" s="8"/>
      <c r="S1025" s="8"/>
      <c r="T1025" s="82"/>
    </row>
    <row r="1026" spans="1:20" ht="13.5" customHeight="1" x14ac:dyDescent="0.25">
      <c r="A1026" s="307">
        <v>2</v>
      </c>
      <c r="B1026" s="307" t="s">
        <v>51</v>
      </c>
      <c r="C1026" s="170" t="s">
        <v>44</v>
      </c>
      <c r="D1026" s="309">
        <v>0.39583333333333331</v>
      </c>
      <c r="E1026" s="267" t="s">
        <v>52</v>
      </c>
      <c r="F1026" s="311">
        <v>0.40277777777777773</v>
      </c>
      <c r="G1026" s="313" t="s">
        <v>430</v>
      </c>
      <c r="H1026" s="315" t="s">
        <v>338</v>
      </c>
      <c r="I1026" s="8"/>
      <c r="J1026" s="8"/>
      <c r="K1026" s="8"/>
      <c r="L1026" s="8"/>
      <c r="M1026" s="8"/>
      <c r="N1026" s="8"/>
      <c r="O1026" s="8"/>
      <c r="P1026" s="8"/>
      <c r="Q1026" s="8"/>
      <c r="R1026" s="8"/>
      <c r="S1026" s="8"/>
      <c r="T1026" s="82"/>
    </row>
    <row r="1027" spans="1:20" ht="13.5" customHeight="1" x14ac:dyDescent="0.25">
      <c r="A1027" s="308"/>
      <c r="B1027" s="308"/>
      <c r="C1027" s="171" t="str">
        <f>IFERROR(VLOOKUP(C1026,Списки!$E:$F,2,0)," ")</f>
        <v>LEVASHOVSKOE HWY 20</v>
      </c>
      <c r="D1027" s="310"/>
      <c r="E1027" s="171" t="str">
        <f>IFERROR(VLOOKUP(E1026,Списки!$E:$F,2,0)," ")</f>
        <v>LEVASHOVSKOE HWY 6</v>
      </c>
      <c r="F1027" s="312"/>
      <c r="G1027" s="314"/>
      <c r="H1027" s="315"/>
      <c r="I1027" s="8"/>
      <c r="J1027" s="8"/>
      <c r="K1027" s="8"/>
      <c r="L1027" s="8"/>
      <c r="M1027" s="8"/>
      <c r="N1027" s="8"/>
      <c r="O1027" s="8"/>
      <c r="P1027" s="8"/>
      <c r="Q1027" s="8"/>
      <c r="R1027" s="8"/>
      <c r="S1027" s="8"/>
      <c r="T1027" s="82"/>
    </row>
    <row r="1028" spans="1:20" ht="13.5" customHeight="1" x14ac:dyDescent="0.25">
      <c r="A1028" s="307">
        <v>3</v>
      </c>
      <c r="B1028" s="307"/>
      <c r="C1028" s="267" t="s">
        <v>52</v>
      </c>
      <c r="D1028" s="309">
        <v>0.44444444444444442</v>
      </c>
      <c r="E1028" s="267" t="s">
        <v>44</v>
      </c>
      <c r="F1028" s="311">
        <v>0.4513888888888889</v>
      </c>
      <c r="G1028" s="313"/>
      <c r="H1028" s="315" t="s">
        <v>338</v>
      </c>
      <c r="I1028" s="8"/>
      <c r="J1028" s="8"/>
      <c r="K1028" s="8"/>
      <c r="L1028" s="8"/>
      <c r="M1028" s="8"/>
      <c r="N1028" s="8"/>
      <c r="O1028" s="8"/>
      <c r="P1028" s="8"/>
      <c r="Q1028" s="8"/>
      <c r="R1028" s="8"/>
      <c r="S1028" s="8"/>
      <c r="T1028" s="82"/>
    </row>
    <row r="1029" spans="1:20" ht="13.5" customHeight="1" x14ac:dyDescent="0.25">
      <c r="A1029" s="308"/>
      <c r="B1029" s="308"/>
      <c r="C1029" s="171" t="str">
        <f>IFERROR(VLOOKUP(C1028,Списки!$E:$F,2,0)," ")</f>
        <v>LEVASHOVSKOE HWY 6</v>
      </c>
      <c r="D1029" s="310"/>
      <c r="E1029" s="171" t="str">
        <f>IFERROR(VLOOKUP(E1028,Списки!$E:$F,2,0)," ")</f>
        <v>LEVASHOVSKOE HWY 20</v>
      </c>
      <c r="F1029" s="312"/>
      <c r="G1029" s="314"/>
      <c r="H1029" s="315"/>
      <c r="I1029" s="8"/>
      <c r="J1029" s="8"/>
      <c r="K1029" s="8"/>
      <c r="L1029" s="8"/>
      <c r="M1029" s="8"/>
      <c r="N1029" s="8"/>
      <c r="O1029" s="8"/>
      <c r="P1029" s="8"/>
      <c r="Q1029" s="8"/>
      <c r="R1029" s="8"/>
      <c r="S1029" s="8"/>
      <c r="T1029" s="82"/>
    </row>
    <row r="1030" spans="1:20" ht="13.5" customHeight="1" x14ac:dyDescent="0.25">
      <c r="A1030" s="307">
        <v>4</v>
      </c>
      <c r="B1030" s="307"/>
      <c r="C1030" s="267" t="s">
        <v>44</v>
      </c>
      <c r="D1030" s="309">
        <v>0.45833333333333331</v>
      </c>
      <c r="E1030" s="267" t="s">
        <v>52</v>
      </c>
      <c r="F1030" s="311">
        <v>0.46527777777777773</v>
      </c>
      <c r="G1030" s="313" t="s">
        <v>84</v>
      </c>
      <c r="H1030" s="315">
        <v>8</v>
      </c>
      <c r="I1030" s="8"/>
      <c r="J1030" s="8"/>
      <c r="K1030" s="8"/>
      <c r="L1030" s="8"/>
      <c r="M1030" s="8"/>
      <c r="N1030" s="8"/>
      <c r="O1030" s="8"/>
      <c r="P1030" s="8"/>
      <c r="Q1030" s="8"/>
      <c r="R1030" s="8"/>
      <c r="S1030" s="8"/>
      <c r="T1030" s="82"/>
    </row>
    <row r="1031" spans="1:20" ht="13.5" customHeight="1" x14ac:dyDescent="0.25">
      <c r="A1031" s="308"/>
      <c r="B1031" s="308"/>
      <c r="C1031" s="171" t="str">
        <f>IFERROR(VLOOKUP(C1030,Списки!$E:$F,2,0)," ")</f>
        <v>LEVASHOVSKOE HWY 20</v>
      </c>
      <c r="D1031" s="310"/>
      <c r="E1031" s="171" t="str">
        <f>IFERROR(VLOOKUP(E1030,Списки!$E:$F,2,0)," ")</f>
        <v>LEVASHOVSKOE HWY 6</v>
      </c>
      <c r="F1031" s="312"/>
      <c r="G1031" s="314"/>
      <c r="H1031" s="315"/>
      <c r="I1031" s="8"/>
      <c r="J1031" s="8"/>
      <c r="K1031" s="8"/>
      <c r="L1031" s="8"/>
      <c r="M1031" s="8"/>
      <c r="N1031" s="8"/>
      <c r="O1031" s="8"/>
      <c r="P1031" s="8"/>
      <c r="Q1031" s="8"/>
      <c r="R1031" s="8"/>
      <c r="S1031" s="8"/>
      <c r="T1031" s="82"/>
    </row>
    <row r="1032" spans="1:20" ht="13.5" customHeight="1" x14ac:dyDescent="0.25">
      <c r="A1032" s="307">
        <v>5</v>
      </c>
      <c r="B1032" s="307" t="s">
        <v>105</v>
      </c>
      <c r="C1032" s="267" t="s">
        <v>52</v>
      </c>
      <c r="D1032" s="309">
        <v>0.50694444444444442</v>
      </c>
      <c r="E1032" s="268" t="s">
        <v>222</v>
      </c>
      <c r="F1032" s="311">
        <v>0.52777777777777779</v>
      </c>
      <c r="G1032" s="313" t="s">
        <v>185</v>
      </c>
      <c r="H1032" s="315">
        <v>19</v>
      </c>
      <c r="I1032" s="8"/>
      <c r="J1032" s="8"/>
      <c r="K1032" s="8"/>
      <c r="L1032" s="8"/>
      <c r="M1032" s="8"/>
      <c r="N1032" s="8"/>
      <c r="O1032" s="8"/>
      <c r="P1032" s="8"/>
      <c r="Q1032" s="8"/>
      <c r="R1032" s="8"/>
      <c r="S1032" s="8"/>
      <c r="T1032" s="82"/>
    </row>
    <row r="1033" spans="1:20" ht="13.5" customHeight="1" x14ac:dyDescent="0.25">
      <c r="A1033" s="308"/>
      <c r="B1033" s="308"/>
      <c r="C1033" s="171" t="str">
        <f>IFERROR(VLOOKUP(C1032,Списки!$E:$F,2,0)," ")</f>
        <v>LEVASHOVSKOE HWY 6</v>
      </c>
      <c r="D1033" s="310"/>
      <c r="E1033" s="172" t="str">
        <f>IFERROR(VLOOKUP(E1032,Списки!$E:$F,2,0)," ")</f>
        <v>AVTOBUSNAYA ST 7</v>
      </c>
      <c r="F1033" s="312"/>
      <c r="G1033" s="314"/>
      <c r="H1033" s="315"/>
      <c r="I1033" s="8"/>
      <c r="J1033" s="8"/>
      <c r="K1033" s="8"/>
      <c r="L1033" s="8"/>
      <c r="M1033" s="8"/>
      <c r="N1033" s="8"/>
      <c r="O1033" s="8"/>
      <c r="P1033" s="8"/>
      <c r="Q1033" s="8"/>
      <c r="R1033" s="8"/>
      <c r="S1033" s="8"/>
      <c r="T1033" s="82"/>
    </row>
    <row r="1034" spans="1:20" ht="13.5" customHeight="1" x14ac:dyDescent="0.25">
      <c r="A1034" s="307">
        <v>6</v>
      </c>
      <c r="B1034" s="307" t="s">
        <v>105</v>
      </c>
      <c r="C1034" s="268" t="s">
        <v>222</v>
      </c>
      <c r="D1034" s="309">
        <v>0.54166666666666663</v>
      </c>
      <c r="E1034" s="267" t="s">
        <v>160</v>
      </c>
      <c r="F1034" s="311">
        <v>0.55555555555555558</v>
      </c>
      <c r="G1034" s="313" t="s">
        <v>131</v>
      </c>
      <c r="H1034" s="315">
        <v>4</v>
      </c>
      <c r="I1034" s="8"/>
      <c r="J1034" s="8"/>
      <c r="K1034" s="8"/>
      <c r="L1034" s="8"/>
      <c r="M1034" s="8"/>
      <c r="N1034" s="8"/>
      <c r="O1034" s="8"/>
      <c r="P1034" s="8"/>
      <c r="Q1034" s="8"/>
      <c r="R1034" s="8"/>
      <c r="S1034" s="8"/>
      <c r="T1034" s="82"/>
    </row>
    <row r="1035" spans="1:20" ht="13.5" customHeight="1" x14ac:dyDescent="0.25">
      <c r="A1035" s="308"/>
      <c r="B1035" s="308"/>
      <c r="C1035" s="171" t="str">
        <f>IFERROR(VLOOKUP(C1034,Списки!$E:$F,2,0)," ")</f>
        <v>AVTOBUSNAYA ST 7</v>
      </c>
      <c r="D1035" s="310"/>
      <c r="E1035" s="179" t="s">
        <v>429</v>
      </c>
      <c r="F1035" s="312"/>
      <c r="G1035" s="314"/>
      <c r="H1035" s="315"/>
      <c r="I1035" s="8"/>
      <c r="J1035" s="8"/>
      <c r="K1035" s="8"/>
      <c r="L1035" s="8"/>
      <c r="M1035" s="8"/>
      <c r="N1035" s="8"/>
      <c r="O1035" s="8"/>
      <c r="P1035" s="8"/>
      <c r="Q1035" s="8"/>
      <c r="R1035" s="8"/>
      <c r="S1035" s="8"/>
      <c r="T1035" s="82"/>
    </row>
    <row r="1036" spans="1:20" ht="13.5" customHeight="1" x14ac:dyDescent="0.25">
      <c r="A1036" s="307">
        <v>7</v>
      </c>
      <c r="B1036" s="307" t="s">
        <v>122</v>
      </c>
      <c r="C1036" s="267" t="s">
        <v>160</v>
      </c>
      <c r="D1036" s="309">
        <v>0.57638888888888895</v>
      </c>
      <c r="E1036" s="267" t="s">
        <v>345</v>
      </c>
      <c r="F1036" s="311">
        <v>0.60416666666666663</v>
      </c>
      <c r="G1036" s="313" t="s">
        <v>185</v>
      </c>
      <c r="H1036" s="315">
        <v>29</v>
      </c>
      <c r="I1036" s="8"/>
      <c r="J1036" s="8"/>
      <c r="K1036" s="8"/>
      <c r="L1036" s="8"/>
      <c r="M1036" s="8"/>
      <c r="N1036" s="8"/>
      <c r="O1036" s="8"/>
      <c r="P1036" s="8"/>
      <c r="Q1036" s="8"/>
      <c r="R1036" s="8"/>
      <c r="S1036" s="8"/>
      <c r="T1036" s="82"/>
    </row>
    <row r="1037" spans="1:20" ht="13.5" customHeight="1" x14ac:dyDescent="0.25">
      <c r="A1037" s="308"/>
      <c r="B1037" s="308"/>
      <c r="C1037" s="179" t="s">
        <v>429</v>
      </c>
      <c r="D1037" s="310"/>
      <c r="E1037" s="171" t="str">
        <f>IFERROR(VLOOKUP(E1036,Списки!$E:$F,2,0)," ")</f>
        <v>BUKHARESTSKAYA ST 24/1</v>
      </c>
      <c r="F1037" s="312"/>
      <c r="G1037" s="314"/>
      <c r="H1037" s="315"/>
      <c r="I1037" s="8"/>
      <c r="J1037" s="8"/>
      <c r="K1037" s="8"/>
      <c r="L1037" s="8"/>
      <c r="M1037" s="8"/>
      <c r="N1037" s="8"/>
      <c r="O1037" s="8"/>
      <c r="P1037" s="8"/>
      <c r="Q1037" s="8"/>
      <c r="R1037" s="8"/>
      <c r="S1037" s="8"/>
      <c r="T1037" s="82"/>
    </row>
    <row r="1038" spans="1:20" ht="13.5" customHeight="1" x14ac:dyDescent="0.25">
      <c r="A1038" s="307">
        <v>8</v>
      </c>
      <c r="B1038" s="307" t="s">
        <v>51</v>
      </c>
      <c r="C1038" s="267" t="s">
        <v>345</v>
      </c>
      <c r="D1038" s="309">
        <v>0.61805555555555558</v>
      </c>
      <c r="E1038" s="267" t="s">
        <v>157</v>
      </c>
      <c r="F1038" s="311">
        <v>0.63888888888888895</v>
      </c>
      <c r="G1038" s="313" t="s">
        <v>336</v>
      </c>
      <c r="H1038" s="315">
        <v>14</v>
      </c>
      <c r="I1038" s="8"/>
      <c r="J1038" s="8"/>
      <c r="K1038" s="8"/>
      <c r="L1038" s="8"/>
      <c r="M1038" s="8"/>
      <c r="N1038" s="8"/>
      <c r="O1038" s="8"/>
      <c r="P1038" s="8"/>
      <c r="Q1038" s="8"/>
      <c r="R1038" s="8"/>
      <c r="S1038" s="8"/>
      <c r="T1038" s="82"/>
    </row>
    <row r="1039" spans="1:20" ht="13.5" customHeight="1" x14ac:dyDescent="0.25">
      <c r="A1039" s="308"/>
      <c r="B1039" s="308"/>
      <c r="C1039" s="179" t="str">
        <f>IFERROR(VLOOKUP(C1038,Списки!$E:$F,2,0)," ")</f>
        <v>BUKHARESTSKAYA ST 24/1</v>
      </c>
      <c r="D1039" s="310"/>
      <c r="E1039" s="171" t="str">
        <f>IFERROR(VLOOKUP(E1038,Списки!$E:$F,2,0)," ")</f>
        <v>STUDENCHESKAYA ST 10</v>
      </c>
      <c r="F1039" s="312"/>
      <c r="G1039" s="314"/>
      <c r="H1039" s="315"/>
      <c r="I1039" s="8"/>
      <c r="J1039" s="8"/>
      <c r="K1039" s="8"/>
      <c r="L1039" s="8"/>
      <c r="M1039" s="8"/>
      <c r="N1039" s="8"/>
      <c r="O1039" s="8"/>
      <c r="P1039" s="8"/>
      <c r="Q1039" s="8"/>
      <c r="R1039" s="8"/>
      <c r="S1039" s="8"/>
      <c r="T1039" s="82"/>
    </row>
    <row r="1040" spans="1:20" ht="13.5" customHeight="1" x14ac:dyDescent="0.25">
      <c r="A1040" s="307">
        <v>9</v>
      </c>
      <c r="B1040" s="307" t="s">
        <v>51</v>
      </c>
      <c r="C1040" s="267" t="s">
        <v>157</v>
      </c>
      <c r="D1040" s="309">
        <v>0.65277777777777779</v>
      </c>
      <c r="E1040" s="267" t="s">
        <v>226</v>
      </c>
      <c r="F1040" s="311">
        <v>0.67361111111111116</v>
      </c>
      <c r="G1040" s="313" t="s">
        <v>184</v>
      </c>
      <c r="H1040" s="315">
        <v>31</v>
      </c>
      <c r="I1040" s="8"/>
      <c r="J1040" s="8"/>
      <c r="K1040" s="8"/>
      <c r="L1040" s="8"/>
      <c r="M1040" s="8"/>
      <c r="N1040" s="8"/>
      <c r="O1040" s="8"/>
      <c r="P1040" s="8"/>
      <c r="Q1040" s="8"/>
      <c r="R1040" s="8"/>
      <c r="S1040" s="8"/>
      <c r="T1040" s="82"/>
    </row>
    <row r="1041" spans="1:20" ht="13.5" customHeight="1" x14ac:dyDescent="0.25">
      <c r="A1041" s="308"/>
      <c r="B1041" s="308"/>
      <c r="C1041" s="171" t="str">
        <f>IFERROR(VLOOKUP(C1040,Списки!$E:$F,2,0)," ")</f>
        <v>STUDENCHESKAYA ST 10</v>
      </c>
      <c r="D1041" s="310"/>
      <c r="E1041" s="171" t="str">
        <f>IFERROR(VLOOKUP(E1040,Списки!$E:$F,2,0)," ")</f>
        <v>VOLODARSKOGO ST 3</v>
      </c>
      <c r="F1041" s="312"/>
      <c r="G1041" s="314"/>
      <c r="H1041" s="315"/>
      <c r="I1041" s="8"/>
      <c r="J1041" s="8"/>
      <c r="K1041" s="8"/>
      <c r="L1041" s="8"/>
      <c r="M1041" s="8"/>
      <c r="N1041" s="8"/>
      <c r="O1041" s="8"/>
      <c r="P1041" s="8"/>
      <c r="Q1041" s="8"/>
      <c r="R1041" s="8"/>
      <c r="S1041" s="8"/>
      <c r="T1041" s="82"/>
    </row>
    <row r="1042" spans="1:20" ht="13.5" customHeight="1" x14ac:dyDescent="0.25">
      <c r="A1042" s="307">
        <v>10</v>
      </c>
      <c r="B1042" s="307"/>
      <c r="C1042" s="267" t="s">
        <v>226</v>
      </c>
      <c r="D1042" s="309">
        <v>0.68055555555555547</v>
      </c>
      <c r="E1042" s="267" t="s">
        <v>44</v>
      </c>
      <c r="F1042" s="311">
        <v>0.69444444444444453</v>
      </c>
      <c r="G1042" s="313"/>
      <c r="H1042" s="315">
        <v>22</v>
      </c>
      <c r="I1042" s="8"/>
      <c r="J1042" s="8"/>
      <c r="K1042" s="8"/>
      <c r="L1042" s="8"/>
      <c r="M1042" s="8"/>
      <c r="N1042" s="8"/>
      <c r="O1042" s="8"/>
      <c r="P1042" s="8"/>
      <c r="Q1042" s="8"/>
      <c r="R1042" s="8"/>
      <c r="S1042" s="8"/>
      <c r="T1042" s="82"/>
    </row>
    <row r="1043" spans="1:20" ht="13.5" customHeight="1" x14ac:dyDescent="0.25">
      <c r="A1043" s="308"/>
      <c r="B1043" s="308"/>
      <c r="C1043" s="171" t="str">
        <f>IFERROR(VLOOKUP(C1042,Списки!$E:$F,2,0)," ")</f>
        <v>VOLODARSKOGO ST 3</v>
      </c>
      <c r="D1043" s="310"/>
      <c r="E1043" s="171" t="str">
        <f>IFERROR(VLOOKUP(E1042,Списки!$E:$F,2,0)," ")</f>
        <v>LEVASHOVSKOE HWY 20</v>
      </c>
      <c r="F1043" s="312"/>
      <c r="G1043" s="314"/>
      <c r="H1043" s="315"/>
      <c r="I1043" s="8"/>
      <c r="J1043" s="8"/>
      <c r="K1043" s="8"/>
      <c r="L1043" s="8"/>
      <c r="M1043" s="8"/>
      <c r="N1043" s="8"/>
      <c r="O1043" s="8"/>
      <c r="P1043" s="8"/>
      <c r="Q1043" s="8"/>
      <c r="R1043" s="8"/>
      <c r="S1043" s="8"/>
      <c r="T1043" s="82"/>
    </row>
    <row r="1044" spans="1:20" ht="13.5" customHeight="1" x14ac:dyDescent="0.25">
      <c r="A1044" s="307">
        <v>11</v>
      </c>
      <c r="B1044" s="307"/>
      <c r="C1044" s="267" t="s">
        <v>44</v>
      </c>
      <c r="D1044" s="309">
        <v>0.70833333333333337</v>
      </c>
      <c r="E1044" s="267" t="s">
        <v>45</v>
      </c>
      <c r="F1044" s="311"/>
      <c r="G1044" s="313"/>
      <c r="H1044" s="315">
        <v>16</v>
      </c>
      <c r="I1044" s="8"/>
      <c r="J1044" s="8"/>
      <c r="K1044" s="8"/>
      <c r="L1044" s="8"/>
      <c r="M1044" s="8"/>
      <c r="N1044" s="8"/>
      <c r="O1044" s="8"/>
      <c r="P1044" s="8"/>
      <c r="Q1044" s="8"/>
      <c r="R1044" s="8"/>
      <c r="S1044" s="8"/>
      <c r="T1044" s="82"/>
    </row>
    <row r="1045" spans="1:20" ht="13.5" customHeight="1" x14ac:dyDescent="0.25">
      <c r="A1045" s="308"/>
      <c r="B1045" s="308"/>
      <c r="C1045" s="171" t="str">
        <f>IFERROR(VLOOKUP(C1044,Списки!$E:$F,2,0)," ")</f>
        <v>LEVASHOVSKOE HWY 20</v>
      </c>
      <c r="D1045" s="310"/>
      <c r="E1045" s="171" t="str">
        <f>IFERROR(VLOOKUP(E1044,Списки!$E:$F,2,0)," ")</f>
        <v>SAVUSHKINA ST 128</v>
      </c>
      <c r="F1045" s="312"/>
      <c r="G1045" s="314"/>
      <c r="H1045" s="315"/>
      <c r="I1045" s="8"/>
      <c r="J1045" s="8"/>
      <c r="K1045" s="8"/>
      <c r="L1045" s="8"/>
      <c r="M1045" s="8"/>
      <c r="N1045" s="8"/>
      <c r="O1045" s="8"/>
      <c r="P1045" s="8"/>
      <c r="Q1045" s="8"/>
      <c r="R1045" s="8"/>
      <c r="S1045" s="8"/>
      <c r="T1045" s="82"/>
    </row>
    <row r="1046" spans="1:20" ht="13.5" customHeight="1" x14ac:dyDescent="0.25">
      <c r="A1046" s="307">
        <v>12</v>
      </c>
      <c r="B1046" s="307"/>
      <c r="C1046" s="170"/>
      <c r="D1046" s="309"/>
      <c r="E1046" s="170"/>
      <c r="F1046" s="311"/>
      <c r="G1046" s="313"/>
      <c r="H1046" s="315"/>
      <c r="I1046" s="8"/>
      <c r="J1046" s="8"/>
      <c r="K1046" s="8"/>
      <c r="L1046" s="8"/>
      <c r="M1046" s="8"/>
      <c r="N1046" s="8"/>
      <c r="O1046" s="8"/>
      <c r="P1046" s="8"/>
      <c r="Q1046" s="8"/>
      <c r="R1046" s="8"/>
      <c r="S1046" s="8"/>
      <c r="T1046" s="82"/>
    </row>
    <row r="1047" spans="1:20" ht="13.5" customHeight="1" x14ac:dyDescent="0.25">
      <c r="A1047" s="308"/>
      <c r="B1047" s="308"/>
      <c r="C1047" s="171" t="str">
        <f>IFERROR(VLOOKUP(C1046,Списки!$E:$F,2,0)," ")</f>
        <v xml:space="preserve"> </v>
      </c>
      <c r="D1047" s="310"/>
      <c r="E1047" s="171" t="str">
        <f>IFERROR(VLOOKUP(E1046,Списки!$E:$F,2,0)," ")</f>
        <v xml:space="preserve"> </v>
      </c>
      <c r="F1047" s="312"/>
      <c r="G1047" s="314"/>
      <c r="H1047" s="315"/>
      <c r="I1047" s="8"/>
      <c r="J1047" s="8"/>
      <c r="K1047" s="8"/>
      <c r="L1047" s="8"/>
      <c r="M1047" s="8"/>
      <c r="N1047" s="8"/>
      <c r="O1047" s="8"/>
      <c r="P1047" s="8"/>
      <c r="Q1047" s="8"/>
      <c r="R1047" s="8"/>
      <c r="S1047" s="8"/>
      <c r="T1047" s="82"/>
    </row>
    <row r="1048" spans="1:20" ht="13.5" customHeight="1" x14ac:dyDescent="0.25">
      <c r="A1048" s="307">
        <v>13</v>
      </c>
      <c r="B1048" s="307"/>
      <c r="C1048" s="170"/>
      <c r="D1048" s="309"/>
      <c r="E1048" s="170"/>
      <c r="F1048" s="311"/>
      <c r="G1048" s="313"/>
      <c r="H1048" s="315"/>
      <c r="I1048" s="8"/>
      <c r="J1048" s="8"/>
      <c r="K1048" s="8"/>
      <c r="L1048" s="8"/>
      <c r="M1048" s="8"/>
      <c r="N1048" s="8"/>
      <c r="O1048" s="8"/>
      <c r="P1048" s="8"/>
      <c r="Q1048" s="8"/>
      <c r="R1048" s="8"/>
      <c r="S1048" s="8"/>
      <c r="T1048" s="82"/>
    </row>
    <row r="1049" spans="1:20" ht="13.5" customHeight="1" x14ac:dyDescent="0.25">
      <c r="A1049" s="308"/>
      <c r="B1049" s="308"/>
      <c r="C1049" s="171" t="str">
        <f>IFERROR(VLOOKUP(C1048,Списки!$E:$F,2,0)," ")</f>
        <v xml:space="preserve"> </v>
      </c>
      <c r="D1049" s="310"/>
      <c r="E1049" s="171" t="str">
        <f>IFERROR(VLOOKUP(E1048,Списки!$E:$F,2,0)," ")</f>
        <v xml:space="preserve"> </v>
      </c>
      <c r="F1049" s="312"/>
      <c r="G1049" s="314"/>
      <c r="H1049" s="315"/>
      <c r="I1049" s="8"/>
      <c r="J1049" s="8"/>
      <c r="K1049" s="8"/>
      <c r="L1049" s="8"/>
      <c r="M1049" s="8"/>
      <c r="N1049" s="8"/>
      <c r="O1049" s="8"/>
      <c r="P1049" s="8"/>
      <c r="Q1049" s="8"/>
      <c r="R1049" s="8"/>
      <c r="S1049" s="8"/>
      <c r="T1049" s="82"/>
    </row>
    <row r="1050" spans="1:20" ht="13.5" customHeight="1" x14ac:dyDescent="0.25">
      <c r="A1050" s="307">
        <v>14</v>
      </c>
      <c r="B1050" s="307"/>
      <c r="C1050" s="170"/>
      <c r="D1050" s="309"/>
      <c r="E1050" s="170"/>
      <c r="F1050" s="311"/>
      <c r="G1050" s="313"/>
      <c r="H1050" s="315"/>
      <c r="I1050" s="8"/>
      <c r="J1050" s="8"/>
      <c r="K1050" s="8"/>
      <c r="L1050" s="8"/>
      <c r="M1050" s="8"/>
      <c r="N1050" s="8"/>
      <c r="O1050" s="8"/>
      <c r="P1050" s="8"/>
      <c r="Q1050" s="8"/>
      <c r="R1050" s="8"/>
      <c r="S1050" s="8"/>
      <c r="T1050" s="82"/>
    </row>
    <row r="1051" spans="1:20" ht="13.5" customHeight="1" x14ac:dyDescent="0.25">
      <c r="A1051" s="308"/>
      <c r="B1051" s="308"/>
      <c r="C1051" s="171" t="str">
        <f>IFERROR(VLOOKUP(C1050,Списки!$E:$F,2,0)," ")</f>
        <v xml:space="preserve"> </v>
      </c>
      <c r="D1051" s="310"/>
      <c r="E1051" s="171" t="str">
        <f>IFERROR(VLOOKUP(E1050,Списки!$E:$F,2,0)," ")</f>
        <v xml:space="preserve"> </v>
      </c>
      <c r="F1051" s="312"/>
      <c r="G1051" s="314"/>
      <c r="H1051" s="315"/>
      <c r="I1051" s="8"/>
      <c r="J1051" s="8"/>
      <c r="K1051" s="8"/>
      <c r="L1051" s="8"/>
      <c r="M1051" s="8"/>
      <c r="N1051" s="8"/>
      <c r="O1051" s="8"/>
      <c r="P1051" s="8"/>
      <c r="Q1051" s="8"/>
      <c r="R1051" s="8"/>
      <c r="S1051" s="8"/>
      <c r="T1051" s="82"/>
    </row>
    <row r="1052" spans="1:20" ht="13.5" customHeight="1" x14ac:dyDescent="0.25">
      <c r="A1052" s="307">
        <v>15</v>
      </c>
      <c r="B1052" s="307"/>
      <c r="C1052" s="170"/>
      <c r="D1052" s="309"/>
      <c r="E1052" s="170"/>
      <c r="F1052" s="311"/>
      <c r="G1052" s="313"/>
      <c r="H1052" s="315"/>
      <c r="I1052" s="8"/>
      <c r="J1052" s="8"/>
      <c r="K1052" s="8"/>
      <c r="L1052" s="8"/>
      <c r="M1052" s="8"/>
      <c r="N1052" s="8"/>
      <c r="O1052" s="8"/>
      <c r="P1052" s="8"/>
      <c r="Q1052" s="8"/>
      <c r="R1052" s="8"/>
      <c r="S1052" s="8"/>
      <c r="T1052" s="82"/>
    </row>
    <row r="1053" spans="1:20" ht="13.5" customHeight="1" x14ac:dyDescent="0.25">
      <c r="A1053" s="308"/>
      <c r="B1053" s="308"/>
      <c r="C1053" s="171" t="str">
        <f>IFERROR(VLOOKUP(C1052,Списки!$E:$F,2,0)," ")</f>
        <v xml:space="preserve"> </v>
      </c>
      <c r="D1053" s="310"/>
      <c r="E1053" s="171" t="str">
        <f>IFERROR(VLOOKUP(E1052,Списки!$E:$F,2,0)," ")</f>
        <v xml:space="preserve"> </v>
      </c>
      <c r="F1053" s="312"/>
      <c r="G1053" s="314"/>
      <c r="H1053" s="315"/>
      <c r="I1053" s="8"/>
      <c r="J1053" s="8"/>
      <c r="K1053" s="8"/>
      <c r="L1053" s="8"/>
      <c r="M1053" s="8"/>
      <c r="N1053" s="8"/>
      <c r="O1053" s="8"/>
      <c r="P1053" s="8"/>
      <c r="Q1053" s="8"/>
      <c r="R1053" s="8"/>
      <c r="S1053" s="8"/>
      <c r="T1053" s="82"/>
    </row>
    <row r="1054" spans="1:20" x14ac:dyDescent="0.25">
      <c r="A1054" s="36"/>
      <c r="B1054" s="37"/>
      <c r="C1054" s="173"/>
      <c r="D1054" s="173"/>
      <c r="E1054" s="174" t="s">
        <v>30</v>
      </c>
      <c r="F1054" s="39">
        <f>IFERROR(SUM(IFERROR(IF((LOOKUP(9E+307,F1024:F1053))&gt;$M$39,(LOOKUP(9E+307,F1024:F1053))-$M$39,IF((LOOKUP(9E+307,F1024:F1053))&lt;0.166666667,0+(LOOKUP(9E+307,F1024:F1053))+1-$M$39,0)),0),(IF(AND(IF(D1024,$M$38-D1024,0)&gt;0,F1024,F1024&gt;D1024),$M$38-D1024,IF(AND(D1024,F1024,D1024&gt;F1024),"error",0)))),"ОШИБКА")</f>
        <v>0</v>
      </c>
      <c r="G1054" s="40" t="s">
        <v>27</v>
      </c>
      <c r="H1054" s="206">
        <f>SUM(H1024:H1053)</f>
        <v>160</v>
      </c>
      <c r="I1054" s="8"/>
      <c r="J1054" s="8"/>
      <c r="K1054" s="8"/>
      <c r="L1054" s="8"/>
      <c r="M1054" s="8"/>
      <c r="N1054" s="8"/>
      <c r="O1054" s="8"/>
      <c r="P1054" s="8"/>
      <c r="Q1054" s="8"/>
      <c r="R1054" s="8"/>
      <c r="S1054" s="8"/>
      <c r="T1054" s="82"/>
    </row>
    <row r="1055" spans="1:20" x14ac:dyDescent="0.25">
      <c r="A1055" s="8"/>
      <c r="B1055" s="85"/>
      <c r="C1055" s="176"/>
      <c r="D1055" s="176"/>
      <c r="E1055" s="176"/>
      <c r="F1055" s="8"/>
      <c r="G1055" s="8"/>
      <c r="H1055" s="8"/>
      <c r="I1055" s="8"/>
      <c r="J1055" s="8"/>
      <c r="K1055" s="8"/>
      <c r="L1055" s="8"/>
      <c r="M1055" s="8"/>
      <c r="N1055" s="8"/>
      <c r="O1055" s="8"/>
      <c r="P1055" s="8"/>
      <c r="Q1055" s="8"/>
      <c r="R1055" s="8"/>
      <c r="S1055" s="8"/>
      <c r="T1055" s="82"/>
    </row>
    <row r="1056" spans="1:20" hidden="1" x14ac:dyDescent="0.25">
      <c r="A1056" s="8"/>
      <c r="B1056" s="85"/>
      <c r="C1056" s="176"/>
      <c r="D1056" s="176"/>
      <c r="E1056" s="176"/>
      <c r="F1056" s="8"/>
      <c r="G1056" s="8"/>
      <c r="H1056" s="8"/>
      <c r="I1056" s="8"/>
      <c r="J1056" s="8"/>
      <c r="K1056" s="8"/>
      <c r="L1056" s="8"/>
      <c r="M1056" s="8"/>
      <c r="N1056" s="8"/>
      <c r="O1056" s="8"/>
      <c r="P1056" s="8"/>
      <c r="Q1056" s="8"/>
      <c r="R1056" s="8"/>
      <c r="S1056" s="8"/>
      <c r="T1056" s="82"/>
    </row>
    <row r="1057" spans="1:20" hidden="1" x14ac:dyDescent="0.25">
      <c r="A1057" s="83"/>
      <c r="B1057" s="86"/>
      <c r="C1057" s="177"/>
      <c r="D1057" s="177"/>
      <c r="E1057" s="177"/>
      <c r="F1057" s="83"/>
      <c r="G1057" s="83"/>
      <c r="H1057" s="83"/>
      <c r="I1057" s="83"/>
      <c r="J1057" s="83"/>
      <c r="K1057" s="83"/>
      <c r="L1057" s="83"/>
      <c r="M1057" s="83"/>
      <c r="N1057" s="83"/>
      <c r="O1057" s="83"/>
      <c r="P1057" s="83"/>
      <c r="Q1057" s="83"/>
      <c r="R1057" s="83"/>
      <c r="S1057" s="83"/>
      <c r="T1057" s="84"/>
    </row>
    <row r="1058" spans="1:20" hidden="1" x14ac:dyDescent="0.25"/>
    <row r="1059" spans="1:20" hidden="1" x14ac:dyDescent="0.25"/>
    <row r="1060" spans="1:20" hidden="1" x14ac:dyDescent="0.25">
      <c r="M1060" s="3"/>
    </row>
    <row r="1061" spans="1:20" hidden="1" x14ac:dyDescent="0.25">
      <c r="J1061" s="6"/>
      <c r="K1061" s="6"/>
    </row>
    <row r="1062" spans="1:20" hidden="1" x14ac:dyDescent="0.25">
      <c r="J1062" s="3"/>
      <c r="K1062" s="3"/>
    </row>
    <row r="1063" spans="1:20" hidden="1" x14ac:dyDescent="0.25">
      <c r="J1063" s="6"/>
      <c r="K1063" s="3"/>
    </row>
  </sheetData>
  <mergeCells count="3043">
    <mergeCell ref="A1052:A1053"/>
    <mergeCell ref="B1052:B1053"/>
    <mergeCell ref="D1052:D1053"/>
    <mergeCell ref="F1052:F1053"/>
    <mergeCell ref="G1052:G1053"/>
    <mergeCell ref="H1052:H1053"/>
    <mergeCell ref="A1050:A1051"/>
    <mergeCell ref="B1050:B1051"/>
    <mergeCell ref="D1050:D1051"/>
    <mergeCell ref="F1050:F1051"/>
    <mergeCell ref="G1050:G1051"/>
    <mergeCell ref="H1050:H1051"/>
    <mergeCell ref="A1048:A1049"/>
    <mergeCell ref="B1048:B1049"/>
    <mergeCell ref="D1048:D1049"/>
    <mergeCell ref="F1048:F1049"/>
    <mergeCell ref="G1048:G1049"/>
    <mergeCell ref="H1048:H1049"/>
    <mergeCell ref="A1046:A1047"/>
    <mergeCell ref="B1046:B1047"/>
    <mergeCell ref="D1046:D1047"/>
    <mergeCell ref="F1046:F1047"/>
    <mergeCell ref="G1046:G1047"/>
    <mergeCell ref="H1046:H1047"/>
    <mergeCell ref="A1044:A1045"/>
    <mergeCell ref="B1044:B1045"/>
    <mergeCell ref="D1044:D1045"/>
    <mergeCell ref="F1044:F1045"/>
    <mergeCell ref="G1044:G1045"/>
    <mergeCell ref="H1044:H1045"/>
    <mergeCell ref="A1042:A1043"/>
    <mergeCell ref="B1042:B1043"/>
    <mergeCell ref="D1042:D1043"/>
    <mergeCell ref="F1042:F1043"/>
    <mergeCell ref="G1042:G1043"/>
    <mergeCell ref="H1042:H1043"/>
    <mergeCell ref="A1040:A1041"/>
    <mergeCell ref="B1040:B1041"/>
    <mergeCell ref="D1040:D1041"/>
    <mergeCell ref="F1040:F1041"/>
    <mergeCell ref="G1040:G1041"/>
    <mergeCell ref="H1040:H1041"/>
    <mergeCell ref="A1038:A1039"/>
    <mergeCell ref="B1038:B1039"/>
    <mergeCell ref="D1038:D1039"/>
    <mergeCell ref="F1038:F1039"/>
    <mergeCell ref="G1038:G1039"/>
    <mergeCell ref="H1038:H1039"/>
    <mergeCell ref="A1036:A1037"/>
    <mergeCell ref="B1036:B1037"/>
    <mergeCell ref="D1036:D1037"/>
    <mergeCell ref="F1036:F1037"/>
    <mergeCell ref="G1036:G1037"/>
    <mergeCell ref="H1036:H1037"/>
    <mergeCell ref="A1034:A1035"/>
    <mergeCell ref="B1034:B1035"/>
    <mergeCell ref="D1034:D1035"/>
    <mergeCell ref="F1034:F1035"/>
    <mergeCell ref="G1034:G1035"/>
    <mergeCell ref="H1034:H1035"/>
    <mergeCell ref="A1032:A1033"/>
    <mergeCell ref="B1032:B1033"/>
    <mergeCell ref="D1032:D1033"/>
    <mergeCell ref="F1032:F1033"/>
    <mergeCell ref="G1032:G1033"/>
    <mergeCell ref="H1032:H1033"/>
    <mergeCell ref="A1030:A1031"/>
    <mergeCell ref="B1030:B1031"/>
    <mergeCell ref="D1030:D1031"/>
    <mergeCell ref="F1030:F1031"/>
    <mergeCell ref="G1030:G1031"/>
    <mergeCell ref="H1030:H1031"/>
    <mergeCell ref="A1028:A1029"/>
    <mergeCell ref="B1028:B1029"/>
    <mergeCell ref="D1028:D1029"/>
    <mergeCell ref="F1028:F1029"/>
    <mergeCell ref="G1028:G1029"/>
    <mergeCell ref="H1028:H1029"/>
    <mergeCell ref="A1026:A1027"/>
    <mergeCell ref="B1026:B1027"/>
    <mergeCell ref="D1026:D1027"/>
    <mergeCell ref="F1026:F1027"/>
    <mergeCell ref="G1026:G1027"/>
    <mergeCell ref="H1026:H1027"/>
    <mergeCell ref="A1024:A1025"/>
    <mergeCell ref="B1024:B1025"/>
    <mergeCell ref="D1024:D1025"/>
    <mergeCell ref="F1024:F1025"/>
    <mergeCell ref="G1024:G1025"/>
    <mergeCell ref="H1024:H1025"/>
    <mergeCell ref="A1021:H1021"/>
    <mergeCell ref="A1022:A1023"/>
    <mergeCell ref="B1022:B1023"/>
    <mergeCell ref="D1022:D1023"/>
    <mergeCell ref="F1022:F1023"/>
    <mergeCell ref="G1022:G1023"/>
    <mergeCell ref="H1022:H1023"/>
    <mergeCell ref="A1018:A1019"/>
    <mergeCell ref="B1018:B1019"/>
    <mergeCell ref="D1018:D1019"/>
    <mergeCell ref="F1018:F1019"/>
    <mergeCell ref="G1018:G1019"/>
    <mergeCell ref="H1018:H1019"/>
    <mergeCell ref="A1016:A1017"/>
    <mergeCell ref="B1016:B1017"/>
    <mergeCell ref="D1016:D1017"/>
    <mergeCell ref="F1016:F1017"/>
    <mergeCell ref="G1016:G1017"/>
    <mergeCell ref="H1016:H1017"/>
    <mergeCell ref="A1014:A1015"/>
    <mergeCell ref="B1014:B1015"/>
    <mergeCell ref="D1014:D1015"/>
    <mergeCell ref="F1014:F1015"/>
    <mergeCell ref="G1014:G1015"/>
    <mergeCell ref="H1014:H1015"/>
    <mergeCell ref="A1012:A1013"/>
    <mergeCell ref="B1012:B1013"/>
    <mergeCell ref="D1012:D1013"/>
    <mergeCell ref="F1012:F1013"/>
    <mergeCell ref="G1012:G1013"/>
    <mergeCell ref="H1012:H1013"/>
    <mergeCell ref="A1010:A1011"/>
    <mergeCell ref="B1010:B1011"/>
    <mergeCell ref="D1010:D1011"/>
    <mergeCell ref="F1010:F1011"/>
    <mergeCell ref="G1010:G1011"/>
    <mergeCell ref="H1010:H1011"/>
    <mergeCell ref="A1008:A1009"/>
    <mergeCell ref="B1008:B1009"/>
    <mergeCell ref="D1008:D1009"/>
    <mergeCell ref="F1008:F1009"/>
    <mergeCell ref="G1008:G1009"/>
    <mergeCell ref="H1008:H1009"/>
    <mergeCell ref="A1006:A1007"/>
    <mergeCell ref="B1006:B1007"/>
    <mergeCell ref="D1006:D1007"/>
    <mergeCell ref="F1006:F1007"/>
    <mergeCell ref="G1006:G1007"/>
    <mergeCell ref="H1006:H1007"/>
    <mergeCell ref="A1004:A1005"/>
    <mergeCell ref="B1004:B1005"/>
    <mergeCell ref="D1004:D1005"/>
    <mergeCell ref="F1004:F1005"/>
    <mergeCell ref="G1004:G1005"/>
    <mergeCell ref="H1004:H1005"/>
    <mergeCell ref="A1002:A1003"/>
    <mergeCell ref="B1002:B1003"/>
    <mergeCell ref="D1002:D1003"/>
    <mergeCell ref="F1002:F1003"/>
    <mergeCell ref="G1002:G1003"/>
    <mergeCell ref="H1002:H1003"/>
    <mergeCell ref="A1000:A1001"/>
    <mergeCell ref="B1000:B1001"/>
    <mergeCell ref="D1000:D1001"/>
    <mergeCell ref="F1000:F1001"/>
    <mergeCell ref="G1000:G1001"/>
    <mergeCell ref="H1000:H1001"/>
    <mergeCell ref="A998:A999"/>
    <mergeCell ref="B998:B999"/>
    <mergeCell ref="D998:D999"/>
    <mergeCell ref="F998:F999"/>
    <mergeCell ref="G998:G999"/>
    <mergeCell ref="H998:H999"/>
    <mergeCell ref="A996:A997"/>
    <mergeCell ref="B996:B997"/>
    <mergeCell ref="D996:D997"/>
    <mergeCell ref="F996:F997"/>
    <mergeCell ref="G996:G997"/>
    <mergeCell ref="H996:H997"/>
    <mergeCell ref="A994:A995"/>
    <mergeCell ref="B994:B995"/>
    <mergeCell ref="D994:D995"/>
    <mergeCell ref="F994:F995"/>
    <mergeCell ref="G994:G995"/>
    <mergeCell ref="H994:H995"/>
    <mergeCell ref="A992:A993"/>
    <mergeCell ref="B992:B993"/>
    <mergeCell ref="D992:D993"/>
    <mergeCell ref="F992:F993"/>
    <mergeCell ref="G992:G993"/>
    <mergeCell ref="H992:H993"/>
    <mergeCell ref="A990:A991"/>
    <mergeCell ref="B990:B991"/>
    <mergeCell ref="D990:D991"/>
    <mergeCell ref="F990:F991"/>
    <mergeCell ref="G990:G991"/>
    <mergeCell ref="H990:H991"/>
    <mergeCell ref="A987:H987"/>
    <mergeCell ref="A988:A989"/>
    <mergeCell ref="B988:B989"/>
    <mergeCell ref="D988:D989"/>
    <mergeCell ref="F988:F989"/>
    <mergeCell ref="G988:G989"/>
    <mergeCell ref="H988:H989"/>
    <mergeCell ref="A984:A985"/>
    <mergeCell ref="B984:B985"/>
    <mergeCell ref="D984:D985"/>
    <mergeCell ref="F984:F985"/>
    <mergeCell ref="G984:G985"/>
    <mergeCell ref="H984:H985"/>
    <mergeCell ref="A982:A983"/>
    <mergeCell ref="B982:B983"/>
    <mergeCell ref="D982:D983"/>
    <mergeCell ref="F982:F983"/>
    <mergeCell ref="G982:G983"/>
    <mergeCell ref="H982:H983"/>
    <mergeCell ref="A980:A981"/>
    <mergeCell ref="B980:B981"/>
    <mergeCell ref="D980:D981"/>
    <mergeCell ref="F980:F981"/>
    <mergeCell ref="G980:G981"/>
    <mergeCell ref="H980:H981"/>
    <mergeCell ref="A978:A979"/>
    <mergeCell ref="B978:B979"/>
    <mergeCell ref="D978:D979"/>
    <mergeCell ref="F978:F979"/>
    <mergeCell ref="G978:G979"/>
    <mergeCell ref="H978:H979"/>
    <mergeCell ref="A976:A977"/>
    <mergeCell ref="B976:B977"/>
    <mergeCell ref="D976:D977"/>
    <mergeCell ref="F976:F977"/>
    <mergeCell ref="G976:G977"/>
    <mergeCell ref="H976:H977"/>
    <mergeCell ref="A974:A975"/>
    <mergeCell ref="B974:B975"/>
    <mergeCell ref="D974:D975"/>
    <mergeCell ref="F974:F975"/>
    <mergeCell ref="G974:G975"/>
    <mergeCell ref="H974:H975"/>
    <mergeCell ref="A972:A973"/>
    <mergeCell ref="B972:B973"/>
    <mergeCell ref="D972:D973"/>
    <mergeCell ref="F972:F973"/>
    <mergeCell ref="G972:G973"/>
    <mergeCell ref="H972:H973"/>
    <mergeCell ref="A970:A971"/>
    <mergeCell ref="B970:B971"/>
    <mergeCell ref="D970:D971"/>
    <mergeCell ref="F970:F971"/>
    <mergeCell ref="G970:G971"/>
    <mergeCell ref="H970:H971"/>
    <mergeCell ref="A968:A969"/>
    <mergeCell ref="B968:B969"/>
    <mergeCell ref="D968:D969"/>
    <mergeCell ref="F968:F969"/>
    <mergeCell ref="G968:G969"/>
    <mergeCell ref="H968:H969"/>
    <mergeCell ref="A966:A967"/>
    <mergeCell ref="B966:B967"/>
    <mergeCell ref="D966:D967"/>
    <mergeCell ref="F966:F967"/>
    <mergeCell ref="G966:G967"/>
    <mergeCell ref="H966:H967"/>
    <mergeCell ref="A964:A965"/>
    <mergeCell ref="B964:B965"/>
    <mergeCell ref="D964:D965"/>
    <mergeCell ref="F964:F965"/>
    <mergeCell ref="G964:G965"/>
    <mergeCell ref="H964:H965"/>
    <mergeCell ref="A962:A963"/>
    <mergeCell ref="B962:B963"/>
    <mergeCell ref="D962:D963"/>
    <mergeCell ref="F962:F963"/>
    <mergeCell ref="G962:G963"/>
    <mergeCell ref="H962:H963"/>
    <mergeCell ref="A960:A961"/>
    <mergeCell ref="B960:B961"/>
    <mergeCell ref="D960:D961"/>
    <mergeCell ref="F960:F961"/>
    <mergeCell ref="G960:G961"/>
    <mergeCell ref="H960:H961"/>
    <mergeCell ref="A958:A959"/>
    <mergeCell ref="B958:B959"/>
    <mergeCell ref="D958:D959"/>
    <mergeCell ref="F958:F959"/>
    <mergeCell ref="G958:G959"/>
    <mergeCell ref="H958:H959"/>
    <mergeCell ref="A956:A957"/>
    <mergeCell ref="B956:B957"/>
    <mergeCell ref="D956:D957"/>
    <mergeCell ref="F956:F957"/>
    <mergeCell ref="G956:G957"/>
    <mergeCell ref="H956:H957"/>
    <mergeCell ref="A953:H953"/>
    <mergeCell ref="A954:A955"/>
    <mergeCell ref="B954:B955"/>
    <mergeCell ref="D954:D955"/>
    <mergeCell ref="F954:F955"/>
    <mergeCell ref="G954:G955"/>
    <mergeCell ref="H954:H955"/>
    <mergeCell ref="A950:A951"/>
    <mergeCell ref="B950:B951"/>
    <mergeCell ref="D950:D951"/>
    <mergeCell ref="F950:F951"/>
    <mergeCell ref="G950:G951"/>
    <mergeCell ref="H950:H951"/>
    <mergeCell ref="A948:A949"/>
    <mergeCell ref="B948:B949"/>
    <mergeCell ref="D948:D949"/>
    <mergeCell ref="F948:F949"/>
    <mergeCell ref="G948:G949"/>
    <mergeCell ref="H948:H949"/>
    <mergeCell ref="A946:A947"/>
    <mergeCell ref="B946:B947"/>
    <mergeCell ref="D946:D947"/>
    <mergeCell ref="F946:F947"/>
    <mergeCell ref="G946:G947"/>
    <mergeCell ref="H946:H947"/>
    <mergeCell ref="A944:A945"/>
    <mergeCell ref="B944:B945"/>
    <mergeCell ref="D944:D945"/>
    <mergeCell ref="F944:F945"/>
    <mergeCell ref="G944:G945"/>
    <mergeCell ref="H944:H945"/>
    <mergeCell ref="A942:A943"/>
    <mergeCell ref="B942:B943"/>
    <mergeCell ref="D942:D943"/>
    <mergeCell ref="F942:F943"/>
    <mergeCell ref="G942:G943"/>
    <mergeCell ref="H942:H943"/>
    <mergeCell ref="A940:A941"/>
    <mergeCell ref="B940:B941"/>
    <mergeCell ref="D940:D941"/>
    <mergeCell ref="F940:F941"/>
    <mergeCell ref="G940:G941"/>
    <mergeCell ref="H940:H941"/>
    <mergeCell ref="A938:A939"/>
    <mergeCell ref="B938:B939"/>
    <mergeCell ref="D938:D939"/>
    <mergeCell ref="F938:F939"/>
    <mergeCell ref="G938:G939"/>
    <mergeCell ref="H938:H939"/>
    <mergeCell ref="A936:A937"/>
    <mergeCell ref="B936:B937"/>
    <mergeCell ref="D936:D937"/>
    <mergeCell ref="F936:F937"/>
    <mergeCell ref="G936:G937"/>
    <mergeCell ref="H936:H937"/>
    <mergeCell ref="A934:A935"/>
    <mergeCell ref="B934:B935"/>
    <mergeCell ref="D934:D935"/>
    <mergeCell ref="F934:F935"/>
    <mergeCell ref="G934:G935"/>
    <mergeCell ref="H934:H935"/>
    <mergeCell ref="A932:A933"/>
    <mergeCell ref="B932:B933"/>
    <mergeCell ref="D932:D933"/>
    <mergeCell ref="F932:F933"/>
    <mergeCell ref="G932:G933"/>
    <mergeCell ref="H932:H933"/>
    <mergeCell ref="A930:A931"/>
    <mergeCell ref="B930:B931"/>
    <mergeCell ref="D930:D931"/>
    <mergeCell ref="F930:F931"/>
    <mergeCell ref="G930:G931"/>
    <mergeCell ref="H930:H931"/>
    <mergeCell ref="A928:A929"/>
    <mergeCell ref="B928:B929"/>
    <mergeCell ref="D928:D929"/>
    <mergeCell ref="F928:F929"/>
    <mergeCell ref="G928:G929"/>
    <mergeCell ref="H928:H929"/>
    <mergeCell ref="A926:A927"/>
    <mergeCell ref="B926:B927"/>
    <mergeCell ref="D926:D927"/>
    <mergeCell ref="F926:F927"/>
    <mergeCell ref="G926:G927"/>
    <mergeCell ref="H926:H927"/>
    <mergeCell ref="A924:A925"/>
    <mergeCell ref="B924:B925"/>
    <mergeCell ref="D924:D925"/>
    <mergeCell ref="F924:F925"/>
    <mergeCell ref="G924:G925"/>
    <mergeCell ref="H924:H925"/>
    <mergeCell ref="A922:A923"/>
    <mergeCell ref="B922:B923"/>
    <mergeCell ref="D922:D923"/>
    <mergeCell ref="F922:F923"/>
    <mergeCell ref="G922:G923"/>
    <mergeCell ref="H922:H923"/>
    <mergeCell ref="A919:H919"/>
    <mergeCell ref="A920:A921"/>
    <mergeCell ref="B920:B921"/>
    <mergeCell ref="D920:D921"/>
    <mergeCell ref="F920:F921"/>
    <mergeCell ref="G920:G921"/>
    <mergeCell ref="H920:H921"/>
    <mergeCell ref="A916:A917"/>
    <mergeCell ref="B916:B917"/>
    <mergeCell ref="D916:D917"/>
    <mergeCell ref="F916:F917"/>
    <mergeCell ref="G916:G917"/>
    <mergeCell ref="H916:H917"/>
    <mergeCell ref="A914:A915"/>
    <mergeCell ref="B914:B915"/>
    <mergeCell ref="D914:D915"/>
    <mergeCell ref="F914:F915"/>
    <mergeCell ref="G914:G915"/>
    <mergeCell ref="H914:H915"/>
    <mergeCell ref="A912:A913"/>
    <mergeCell ref="B912:B913"/>
    <mergeCell ref="D912:D913"/>
    <mergeCell ref="F912:F913"/>
    <mergeCell ref="G912:G913"/>
    <mergeCell ref="H912:H913"/>
    <mergeCell ref="A910:A911"/>
    <mergeCell ref="B910:B911"/>
    <mergeCell ref="D910:D911"/>
    <mergeCell ref="F910:F911"/>
    <mergeCell ref="G910:G911"/>
    <mergeCell ref="H910:H911"/>
    <mergeCell ref="A908:A909"/>
    <mergeCell ref="B908:B909"/>
    <mergeCell ref="D908:D909"/>
    <mergeCell ref="F908:F909"/>
    <mergeCell ref="G908:G909"/>
    <mergeCell ref="H908:H909"/>
    <mergeCell ref="A906:A907"/>
    <mergeCell ref="B906:B907"/>
    <mergeCell ref="D906:D907"/>
    <mergeCell ref="F906:F907"/>
    <mergeCell ref="G906:G907"/>
    <mergeCell ref="H906:H907"/>
    <mergeCell ref="A904:A905"/>
    <mergeCell ref="B904:B905"/>
    <mergeCell ref="D904:D905"/>
    <mergeCell ref="F904:F905"/>
    <mergeCell ref="G904:G905"/>
    <mergeCell ref="H904:H905"/>
    <mergeCell ref="A902:A903"/>
    <mergeCell ref="B902:B903"/>
    <mergeCell ref="D902:D903"/>
    <mergeCell ref="F902:F903"/>
    <mergeCell ref="G902:G903"/>
    <mergeCell ref="H902:H903"/>
    <mergeCell ref="A900:A901"/>
    <mergeCell ref="B900:B901"/>
    <mergeCell ref="D900:D901"/>
    <mergeCell ref="F900:F901"/>
    <mergeCell ref="G900:G901"/>
    <mergeCell ref="H900:H901"/>
    <mergeCell ref="A898:A899"/>
    <mergeCell ref="B898:B899"/>
    <mergeCell ref="D898:D899"/>
    <mergeCell ref="F898:F899"/>
    <mergeCell ref="G898:G899"/>
    <mergeCell ref="H898:H899"/>
    <mergeCell ref="A896:A897"/>
    <mergeCell ref="B896:B897"/>
    <mergeCell ref="D896:D897"/>
    <mergeCell ref="F896:F897"/>
    <mergeCell ref="G896:G897"/>
    <mergeCell ref="H896:H897"/>
    <mergeCell ref="A894:A895"/>
    <mergeCell ref="B894:B895"/>
    <mergeCell ref="D894:D895"/>
    <mergeCell ref="F894:F895"/>
    <mergeCell ref="G894:G895"/>
    <mergeCell ref="H894:H895"/>
    <mergeCell ref="A892:A893"/>
    <mergeCell ref="B892:B893"/>
    <mergeCell ref="D892:D893"/>
    <mergeCell ref="F892:F893"/>
    <mergeCell ref="G892:G893"/>
    <mergeCell ref="H892:H893"/>
    <mergeCell ref="A890:A891"/>
    <mergeCell ref="B890:B891"/>
    <mergeCell ref="D890:D891"/>
    <mergeCell ref="F890:F891"/>
    <mergeCell ref="G890:G891"/>
    <mergeCell ref="H890:H891"/>
    <mergeCell ref="A888:A889"/>
    <mergeCell ref="B888:B889"/>
    <mergeCell ref="D888:D889"/>
    <mergeCell ref="F888:F889"/>
    <mergeCell ref="G888:G889"/>
    <mergeCell ref="H888:H889"/>
    <mergeCell ref="A885:H885"/>
    <mergeCell ref="A886:A887"/>
    <mergeCell ref="B886:B887"/>
    <mergeCell ref="D886:D887"/>
    <mergeCell ref="F886:F887"/>
    <mergeCell ref="G886:G887"/>
    <mergeCell ref="H886:H887"/>
    <mergeCell ref="A882:A883"/>
    <mergeCell ref="B882:B883"/>
    <mergeCell ref="D882:D883"/>
    <mergeCell ref="F882:F883"/>
    <mergeCell ref="G882:G883"/>
    <mergeCell ref="H882:H883"/>
    <mergeCell ref="A880:A881"/>
    <mergeCell ref="B880:B881"/>
    <mergeCell ref="D880:D881"/>
    <mergeCell ref="F880:F881"/>
    <mergeCell ref="G880:G881"/>
    <mergeCell ref="H880:H881"/>
    <mergeCell ref="A878:A879"/>
    <mergeCell ref="B878:B879"/>
    <mergeCell ref="D878:D879"/>
    <mergeCell ref="F878:F879"/>
    <mergeCell ref="G878:G879"/>
    <mergeCell ref="H878:H879"/>
    <mergeCell ref="A876:A877"/>
    <mergeCell ref="B876:B877"/>
    <mergeCell ref="D876:D877"/>
    <mergeCell ref="F876:F877"/>
    <mergeCell ref="G876:G877"/>
    <mergeCell ref="H876:H877"/>
    <mergeCell ref="A874:A875"/>
    <mergeCell ref="B874:B875"/>
    <mergeCell ref="D874:D875"/>
    <mergeCell ref="F874:F875"/>
    <mergeCell ref="G874:G875"/>
    <mergeCell ref="H874:H875"/>
    <mergeCell ref="A872:A873"/>
    <mergeCell ref="B872:B873"/>
    <mergeCell ref="D872:D873"/>
    <mergeCell ref="F872:F873"/>
    <mergeCell ref="G872:G873"/>
    <mergeCell ref="H872:H873"/>
    <mergeCell ref="A870:A871"/>
    <mergeCell ref="B870:B871"/>
    <mergeCell ref="D870:D871"/>
    <mergeCell ref="F870:F871"/>
    <mergeCell ref="G870:G871"/>
    <mergeCell ref="H870:H871"/>
    <mergeCell ref="A868:A869"/>
    <mergeCell ref="B868:B869"/>
    <mergeCell ref="D868:D869"/>
    <mergeCell ref="F868:F869"/>
    <mergeCell ref="G868:G869"/>
    <mergeCell ref="H868:H869"/>
    <mergeCell ref="A866:A867"/>
    <mergeCell ref="B866:B867"/>
    <mergeCell ref="D866:D867"/>
    <mergeCell ref="F866:F867"/>
    <mergeCell ref="G866:G867"/>
    <mergeCell ref="H866:H867"/>
    <mergeCell ref="A864:A865"/>
    <mergeCell ref="B864:B865"/>
    <mergeCell ref="D864:D865"/>
    <mergeCell ref="F864:F865"/>
    <mergeCell ref="G864:G865"/>
    <mergeCell ref="H864:H865"/>
    <mergeCell ref="A862:A863"/>
    <mergeCell ref="B862:B863"/>
    <mergeCell ref="D862:D863"/>
    <mergeCell ref="F862:F863"/>
    <mergeCell ref="G862:G863"/>
    <mergeCell ref="H862:H863"/>
    <mergeCell ref="A860:A861"/>
    <mergeCell ref="B860:B861"/>
    <mergeCell ref="D860:D861"/>
    <mergeCell ref="F860:F861"/>
    <mergeCell ref="G860:G861"/>
    <mergeCell ref="H860:H861"/>
    <mergeCell ref="A858:A859"/>
    <mergeCell ref="B858:B859"/>
    <mergeCell ref="D858:D859"/>
    <mergeCell ref="F858:F859"/>
    <mergeCell ref="G858:G859"/>
    <mergeCell ref="H858:H859"/>
    <mergeCell ref="A856:A857"/>
    <mergeCell ref="B856:B857"/>
    <mergeCell ref="D856:D857"/>
    <mergeCell ref="F856:F857"/>
    <mergeCell ref="G856:G857"/>
    <mergeCell ref="H856:H857"/>
    <mergeCell ref="A854:A855"/>
    <mergeCell ref="B854:B855"/>
    <mergeCell ref="D854:D855"/>
    <mergeCell ref="F854:F855"/>
    <mergeCell ref="G854:G855"/>
    <mergeCell ref="H854:H855"/>
    <mergeCell ref="A851:H851"/>
    <mergeCell ref="A852:A853"/>
    <mergeCell ref="B852:B853"/>
    <mergeCell ref="D852:D853"/>
    <mergeCell ref="F852:F853"/>
    <mergeCell ref="G852:G853"/>
    <mergeCell ref="H852:H853"/>
    <mergeCell ref="A848:A849"/>
    <mergeCell ref="B848:B849"/>
    <mergeCell ref="D848:D849"/>
    <mergeCell ref="F848:F849"/>
    <mergeCell ref="G848:G849"/>
    <mergeCell ref="H848:H849"/>
    <mergeCell ref="A846:A847"/>
    <mergeCell ref="B846:B847"/>
    <mergeCell ref="D846:D847"/>
    <mergeCell ref="F846:F847"/>
    <mergeCell ref="G846:G847"/>
    <mergeCell ref="H846:H847"/>
    <mergeCell ref="A844:A845"/>
    <mergeCell ref="B844:B845"/>
    <mergeCell ref="D844:D845"/>
    <mergeCell ref="F844:F845"/>
    <mergeCell ref="G844:G845"/>
    <mergeCell ref="H844:H845"/>
    <mergeCell ref="A842:A843"/>
    <mergeCell ref="B842:B843"/>
    <mergeCell ref="D842:D843"/>
    <mergeCell ref="F842:F843"/>
    <mergeCell ref="G842:G843"/>
    <mergeCell ref="H842:H843"/>
    <mergeCell ref="A840:A841"/>
    <mergeCell ref="B840:B841"/>
    <mergeCell ref="D840:D841"/>
    <mergeCell ref="F840:F841"/>
    <mergeCell ref="G840:G841"/>
    <mergeCell ref="H840:H841"/>
    <mergeCell ref="A838:A839"/>
    <mergeCell ref="B838:B839"/>
    <mergeCell ref="D838:D839"/>
    <mergeCell ref="F838:F839"/>
    <mergeCell ref="G838:G839"/>
    <mergeCell ref="H838:H839"/>
    <mergeCell ref="A836:A837"/>
    <mergeCell ref="B836:B837"/>
    <mergeCell ref="D836:D837"/>
    <mergeCell ref="F836:F837"/>
    <mergeCell ref="G836:G837"/>
    <mergeCell ref="H836:H837"/>
    <mergeCell ref="A834:A835"/>
    <mergeCell ref="B834:B835"/>
    <mergeCell ref="D834:D835"/>
    <mergeCell ref="F834:F835"/>
    <mergeCell ref="G834:G835"/>
    <mergeCell ref="H834:H835"/>
    <mergeCell ref="A832:A833"/>
    <mergeCell ref="B832:B833"/>
    <mergeCell ref="D832:D833"/>
    <mergeCell ref="F832:F833"/>
    <mergeCell ref="G832:G833"/>
    <mergeCell ref="H832:H833"/>
    <mergeCell ref="A830:A831"/>
    <mergeCell ref="B830:B831"/>
    <mergeCell ref="D830:D831"/>
    <mergeCell ref="F830:F831"/>
    <mergeCell ref="G830:G831"/>
    <mergeCell ref="H830:H831"/>
    <mergeCell ref="A828:A829"/>
    <mergeCell ref="B828:B829"/>
    <mergeCell ref="D828:D829"/>
    <mergeCell ref="F828:F829"/>
    <mergeCell ref="G828:G829"/>
    <mergeCell ref="H828:H829"/>
    <mergeCell ref="A826:A827"/>
    <mergeCell ref="B826:B827"/>
    <mergeCell ref="D826:D827"/>
    <mergeCell ref="F826:F827"/>
    <mergeCell ref="G826:G827"/>
    <mergeCell ref="H826:H827"/>
    <mergeCell ref="A824:A825"/>
    <mergeCell ref="B824:B825"/>
    <mergeCell ref="D824:D825"/>
    <mergeCell ref="F824:F825"/>
    <mergeCell ref="G824:G825"/>
    <mergeCell ref="H824:H825"/>
    <mergeCell ref="A822:A823"/>
    <mergeCell ref="B822:B823"/>
    <mergeCell ref="D822:D823"/>
    <mergeCell ref="F822:F823"/>
    <mergeCell ref="G822:G823"/>
    <mergeCell ref="H822:H823"/>
    <mergeCell ref="A820:A821"/>
    <mergeCell ref="B820:B821"/>
    <mergeCell ref="D820:D821"/>
    <mergeCell ref="F820:F821"/>
    <mergeCell ref="G820:G821"/>
    <mergeCell ref="H820:H821"/>
    <mergeCell ref="A817:H817"/>
    <mergeCell ref="A818:A819"/>
    <mergeCell ref="B818:B819"/>
    <mergeCell ref="D818:D819"/>
    <mergeCell ref="F818:F819"/>
    <mergeCell ref="G818:G819"/>
    <mergeCell ref="H818:H819"/>
    <mergeCell ref="A814:A815"/>
    <mergeCell ref="B814:B815"/>
    <mergeCell ref="D814:D815"/>
    <mergeCell ref="F814:F815"/>
    <mergeCell ref="G814:G815"/>
    <mergeCell ref="H814:H815"/>
    <mergeCell ref="A812:A813"/>
    <mergeCell ref="B812:B813"/>
    <mergeCell ref="D812:D813"/>
    <mergeCell ref="F812:F813"/>
    <mergeCell ref="G812:G813"/>
    <mergeCell ref="H812:H813"/>
    <mergeCell ref="A810:A811"/>
    <mergeCell ref="B810:B811"/>
    <mergeCell ref="D810:D811"/>
    <mergeCell ref="F810:F811"/>
    <mergeCell ref="G810:G811"/>
    <mergeCell ref="H810:H811"/>
    <mergeCell ref="A808:A809"/>
    <mergeCell ref="B808:B809"/>
    <mergeCell ref="D808:D809"/>
    <mergeCell ref="F808:F809"/>
    <mergeCell ref="G808:G809"/>
    <mergeCell ref="H808:H809"/>
    <mergeCell ref="A806:A807"/>
    <mergeCell ref="B806:B807"/>
    <mergeCell ref="D806:D807"/>
    <mergeCell ref="F806:F807"/>
    <mergeCell ref="G806:G807"/>
    <mergeCell ref="H806:H807"/>
    <mergeCell ref="A804:A805"/>
    <mergeCell ref="B804:B805"/>
    <mergeCell ref="D804:D805"/>
    <mergeCell ref="F804:F805"/>
    <mergeCell ref="G804:G805"/>
    <mergeCell ref="H804:H805"/>
    <mergeCell ref="A802:A803"/>
    <mergeCell ref="B802:B803"/>
    <mergeCell ref="D802:D803"/>
    <mergeCell ref="F802:F803"/>
    <mergeCell ref="G802:G803"/>
    <mergeCell ref="H802:H803"/>
    <mergeCell ref="A800:A801"/>
    <mergeCell ref="B800:B801"/>
    <mergeCell ref="D800:D801"/>
    <mergeCell ref="F800:F801"/>
    <mergeCell ref="G800:G801"/>
    <mergeCell ref="H800:H801"/>
    <mergeCell ref="A798:A799"/>
    <mergeCell ref="B798:B799"/>
    <mergeCell ref="D798:D799"/>
    <mergeCell ref="F798:F799"/>
    <mergeCell ref="G798:G799"/>
    <mergeCell ref="H798:H799"/>
    <mergeCell ref="A796:A797"/>
    <mergeCell ref="B796:B797"/>
    <mergeCell ref="D796:D797"/>
    <mergeCell ref="F796:F797"/>
    <mergeCell ref="G796:G797"/>
    <mergeCell ref="H796:H797"/>
    <mergeCell ref="A794:A795"/>
    <mergeCell ref="B794:B795"/>
    <mergeCell ref="D794:D795"/>
    <mergeCell ref="F794:F795"/>
    <mergeCell ref="G794:G795"/>
    <mergeCell ref="H794:H795"/>
    <mergeCell ref="A792:A793"/>
    <mergeCell ref="B792:B793"/>
    <mergeCell ref="D792:D793"/>
    <mergeCell ref="F792:F793"/>
    <mergeCell ref="G792:G793"/>
    <mergeCell ref="H792:H793"/>
    <mergeCell ref="A790:A791"/>
    <mergeCell ref="B790:B791"/>
    <mergeCell ref="D790:D791"/>
    <mergeCell ref="F790:F791"/>
    <mergeCell ref="G790:G791"/>
    <mergeCell ref="H790:H791"/>
    <mergeCell ref="A788:A789"/>
    <mergeCell ref="B788:B789"/>
    <mergeCell ref="D788:D789"/>
    <mergeCell ref="F788:F789"/>
    <mergeCell ref="G788:G789"/>
    <mergeCell ref="H788:H789"/>
    <mergeCell ref="A786:A787"/>
    <mergeCell ref="B786:B787"/>
    <mergeCell ref="D786:D787"/>
    <mergeCell ref="F786:F787"/>
    <mergeCell ref="G786:G787"/>
    <mergeCell ref="H786:H787"/>
    <mergeCell ref="A783:H783"/>
    <mergeCell ref="A784:A785"/>
    <mergeCell ref="B784:B785"/>
    <mergeCell ref="D784:D785"/>
    <mergeCell ref="F784:F785"/>
    <mergeCell ref="G784:G785"/>
    <mergeCell ref="H784:H785"/>
    <mergeCell ref="A780:A781"/>
    <mergeCell ref="B780:B781"/>
    <mergeCell ref="D780:D781"/>
    <mergeCell ref="F780:F781"/>
    <mergeCell ref="G780:G781"/>
    <mergeCell ref="H780:H781"/>
    <mergeCell ref="A778:A779"/>
    <mergeCell ref="B778:B779"/>
    <mergeCell ref="D778:D779"/>
    <mergeCell ref="F778:F779"/>
    <mergeCell ref="G778:G779"/>
    <mergeCell ref="H778:H779"/>
    <mergeCell ref="A776:A777"/>
    <mergeCell ref="B776:B777"/>
    <mergeCell ref="D776:D777"/>
    <mergeCell ref="F776:F777"/>
    <mergeCell ref="G776:G777"/>
    <mergeCell ref="H776:H777"/>
    <mergeCell ref="A774:A775"/>
    <mergeCell ref="B774:B775"/>
    <mergeCell ref="D774:D775"/>
    <mergeCell ref="F774:F775"/>
    <mergeCell ref="G774:G775"/>
    <mergeCell ref="H774:H775"/>
    <mergeCell ref="A772:A773"/>
    <mergeCell ref="B772:B773"/>
    <mergeCell ref="D772:D773"/>
    <mergeCell ref="F772:F773"/>
    <mergeCell ref="G772:G773"/>
    <mergeCell ref="H772:H773"/>
    <mergeCell ref="A770:A771"/>
    <mergeCell ref="B770:B771"/>
    <mergeCell ref="D770:D771"/>
    <mergeCell ref="F770:F771"/>
    <mergeCell ref="G770:G771"/>
    <mergeCell ref="H770:H771"/>
    <mergeCell ref="A768:A769"/>
    <mergeCell ref="B768:B769"/>
    <mergeCell ref="D768:D769"/>
    <mergeCell ref="F768:F769"/>
    <mergeCell ref="G768:G769"/>
    <mergeCell ref="H768:H769"/>
    <mergeCell ref="A766:A767"/>
    <mergeCell ref="B766:B767"/>
    <mergeCell ref="D766:D767"/>
    <mergeCell ref="F766:F767"/>
    <mergeCell ref="G766:G767"/>
    <mergeCell ref="H766:H767"/>
    <mergeCell ref="A764:A765"/>
    <mergeCell ref="B764:B765"/>
    <mergeCell ref="D764:D765"/>
    <mergeCell ref="F764:F765"/>
    <mergeCell ref="G764:G765"/>
    <mergeCell ref="H764:H765"/>
    <mergeCell ref="A762:A763"/>
    <mergeCell ref="B762:B763"/>
    <mergeCell ref="D762:D763"/>
    <mergeCell ref="F762:F763"/>
    <mergeCell ref="G762:G763"/>
    <mergeCell ref="H762:H763"/>
    <mergeCell ref="A760:A761"/>
    <mergeCell ref="B760:B761"/>
    <mergeCell ref="D760:D761"/>
    <mergeCell ref="F760:F761"/>
    <mergeCell ref="G760:G761"/>
    <mergeCell ref="H760:H761"/>
    <mergeCell ref="A758:A759"/>
    <mergeCell ref="B758:B759"/>
    <mergeCell ref="D758:D759"/>
    <mergeCell ref="F758:F759"/>
    <mergeCell ref="G758:G759"/>
    <mergeCell ref="H758:H759"/>
    <mergeCell ref="A756:A757"/>
    <mergeCell ref="B756:B757"/>
    <mergeCell ref="D756:D757"/>
    <mergeCell ref="F756:F757"/>
    <mergeCell ref="G756:G757"/>
    <mergeCell ref="H756:H757"/>
    <mergeCell ref="A754:A755"/>
    <mergeCell ref="B754:B755"/>
    <mergeCell ref="D754:D755"/>
    <mergeCell ref="F754:F755"/>
    <mergeCell ref="G754:G755"/>
    <mergeCell ref="H754:H755"/>
    <mergeCell ref="A752:A753"/>
    <mergeCell ref="B752:B753"/>
    <mergeCell ref="D752:D753"/>
    <mergeCell ref="F752:F753"/>
    <mergeCell ref="G752:G753"/>
    <mergeCell ref="H752:H753"/>
    <mergeCell ref="A749:H749"/>
    <mergeCell ref="A750:A751"/>
    <mergeCell ref="B750:B751"/>
    <mergeCell ref="D750:D751"/>
    <mergeCell ref="F750:F751"/>
    <mergeCell ref="G750:G751"/>
    <mergeCell ref="H750:H751"/>
    <mergeCell ref="A746:A747"/>
    <mergeCell ref="B746:B747"/>
    <mergeCell ref="D746:D747"/>
    <mergeCell ref="F746:F747"/>
    <mergeCell ref="G746:G747"/>
    <mergeCell ref="H746:H747"/>
    <mergeCell ref="A744:A745"/>
    <mergeCell ref="B744:B745"/>
    <mergeCell ref="D744:D745"/>
    <mergeCell ref="F744:F745"/>
    <mergeCell ref="G744:G745"/>
    <mergeCell ref="H744:H745"/>
    <mergeCell ref="A742:A743"/>
    <mergeCell ref="B742:B743"/>
    <mergeCell ref="D742:D743"/>
    <mergeCell ref="F742:F743"/>
    <mergeCell ref="G742:G743"/>
    <mergeCell ref="H742:H743"/>
    <mergeCell ref="A740:A741"/>
    <mergeCell ref="B740:B741"/>
    <mergeCell ref="D740:D741"/>
    <mergeCell ref="F740:F741"/>
    <mergeCell ref="G740:G741"/>
    <mergeCell ref="H740:H741"/>
    <mergeCell ref="A738:A739"/>
    <mergeCell ref="B738:B739"/>
    <mergeCell ref="D738:D739"/>
    <mergeCell ref="F738:F739"/>
    <mergeCell ref="G738:G739"/>
    <mergeCell ref="H738:H739"/>
    <mergeCell ref="A736:A737"/>
    <mergeCell ref="B736:B737"/>
    <mergeCell ref="D736:D737"/>
    <mergeCell ref="F736:F737"/>
    <mergeCell ref="G736:G737"/>
    <mergeCell ref="H736:H737"/>
    <mergeCell ref="A734:A735"/>
    <mergeCell ref="B734:B735"/>
    <mergeCell ref="D734:D735"/>
    <mergeCell ref="F734:F735"/>
    <mergeCell ref="G734:G735"/>
    <mergeCell ref="H734:H735"/>
    <mergeCell ref="A732:A733"/>
    <mergeCell ref="B732:B733"/>
    <mergeCell ref="D732:D733"/>
    <mergeCell ref="F732:F733"/>
    <mergeCell ref="G732:G733"/>
    <mergeCell ref="H732:H733"/>
    <mergeCell ref="A730:A731"/>
    <mergeCell ref="B730:B731"/>
    <mergeCell ref="D730:D731"/>
    <mergeCell ref="F730:F731"/>
    <mergeCell ref="G730:G731"/>
    <mergeCell ref="H730:H731"/>
    <mergeCell ref="A728:A729"/>
    <mergeCell ref="B728:B729"/>
    <mergeCell ref="D728:D729"/>
    <mergeCell ref="F728:F729"/>
    <mergeCell ref="G728:G729"/>
    <mergeCell ref="H728:H729"/>
    <mergeCell ref="A726:A727"/>
    <mergeCell ref="B726:B727"/>
    <mergeCell ref="D726:D727"/>
    <mergeCell ref="F726:F727"/>
    <mergeCell ref="G726:G727"/>
    <mergeCell ref="H726:H727"/>
    <mergeCell ref="A724:A725"/>
    <mergeCell ref="B724:B725"/>
    <mergeCell ref="D724:D725"/>
    <mergeCell ref="F724:F725"/>
    <mergeCell ref="G724:G725"/>
    <mergeCell ref="H724:H725"/>
    <mergeCell ref="A722:A723"/>
    <mergeCell ref="B722:B723"/>
    <mergeCell ref="D722:D723"/>
    <mergeCell ref="F722:F723"/>
    <mergeCell ref="G722:G723"/>
    <mergeCell ref="H722:H723"/>
    <mergeCell ref="A720:A721"/>
    <mergeCell ref="B720:B721"/>
    <mergeCell ref="D720:D721"/>
    <mergeCell ref="F720:F721"/>
    <mergeCell ref="G720:G721"/>
    <mergeCell ref="H720:H721"/>
    <mergeCell ref="A718:A719"/>
    <mergeCell ref="B718:B719"/>
    <mergeCell ref="D718:D719"/>
    <mergeCell ref="F718:F719"/>
    <mergeCell ref="G718:G719"/>
    <mergeCell ref="H718:H719"/>
    <mergeCell ref="A715:H715"/>
    <mergeCell ref="A716:A717"/>
    <mergeCell ref="B716:B717"/>
    <mergeCell ref="D716:D717"/>
    <mergeCell ref="F716:F717"/>
    <mergeCell ref="G716:G717"/>
    <mergeCell ref="H716:H717"/>
    <mergeCell ref="A712:A713"/>
    <mergeCell ref="B712:B713"/>
    <mergeCell ref="D712:D713"/>
    <mergeCell ref="F712:F713"/>
    <mergeCell ref="G712:G713"/>
    <mergeCell ref="H712:H713"/>
    <mergeCell ref="A710:A711"/>
    <mergeCell ref="B710:B711"/>
    <mergeCell ref="D710:D711"/>
    <mergeCell ref="F710:F711"/>
    <mergeCell ref="G710:G711"/>
    <mergeCell ref="H710:H711"/>
    <mergeCell ref="A708:A709"/>
    <mergeCell ref="B708:B709"/>
    <mergeCell ref="D708:D709"/>
    <mergeCell ref="F708:F709"/>
    <mergeCell ref="G708:G709"/>
    <mergeCell ref="H708:H709"/>
    <mergeCell ref="A706:A707"/>
    <mergeCell ref="B706:B707"/>
    <mergeCell ref="D706:D707"/>
    <mergeCell ref="F706:F707"/>
    <mergeCell ref="G706:G707"/>
    <mergeCell ref="H706:H707"/>
    <mergeCell ref="A704:A705"/>
    <mergeCell ref="B704:B705"/>
    <mergeCell ref="D704:D705"/>
    <mergeCell ref="F704:F705"/>
    <mergeCell ref="G704:G705"/>
    <mergeCell ref="H704:H705"/>
    <mergeCell ref="A702:A703"/>
    <mergeCell ref="B702:B703"/>
    <mergeCell ref="D702:D703"/>
    <mergeCell ref="F702:F703"/>
    <mergeCell ref="G702:G703"/>
    <mergeCell ref="H702:H703"/>
    <mergeCell ref="A700:A701"/>
    <mergeCell ref="B700:B701"/>
    <mergeCell ref="D700:D701"/>
    <mergeCell ref="F700:F701"/>
    <mergeCell ref="G700:G701"/>
    <mergeCell ref="H700:H701"/>
    <mergeCell ref="A698:A699"/>
    <mergeCell ref="B698:B699"/>
    <mergeCell ref="D698:D699"/>
    <mergeCell ref="F698:F699"/>
    <mergeCell ref="G698:G699"/>
    <mergeCell ref="H698:H699"/>
    <mergeCell ref="A696:A697"/>
    <mergeCell ref="B696:B697"/>
    <mergeCell ref="D696:D697"/>
    <mergeCell ref="F696:F697"/>
    <mergeCell ref="G696:G697"/>
    <mergeCell ref="H696:H697"/>
    <mergeCell ref="A694:A695"/>
    <mergeCell ref="B694:B695"/>
    <mergeCell ref="D694:D695"/>
    <mergeCell ref="F694:F695"/>
    <mergeCell ref="G694:G695"/>
    <mergeCell ref="H694:H695"/>
    <mergeCell ref="A692:A693"/>
    <mergeCell ref="B692:B693"/>
    <mergeCell ref="D692:D693"/>
    <mergeCell ref="F692:F693"/>
    <mergeCell ref="G692:G693"/>
    <mergeCell ref="H692:H693"/>
    <mergeCell ref="A690:A691"/>
    <mergeCell ref="B690:B691"/>
    <mergeCell ref="D690:D691"/>
    <mergeCell ref="F690:F691"/>
    <mergeCell ref="G690:G691"/>
    <mergeCell ref="H690:H691"/>
    <mergeCell ref="A688:A689"/>
    <mergeCell ref="B688:B689"/>
    <mergeCell ref="D688:D689"/>
    <mergeCell ref="F688:F689"/>
    <mergeCell ref="G688:G689"/>
    <mergeCell ref="H688:H689"/>
    <mergeCell ref="A686:A687"/>
    <mergeCell ref="B686:B687"/>
    <mergeCell ref="D686:D687"/>
    <mergeCell ref="F686:F687"/>
    <mergeCell ref="G686:G687"/>
    <mergeCell ref="H686:H687"/>
    <mergeCell ref="A684:A685"/>
    <mergeCell ref="B684:B685"/>
    <mergeCell ref="D684:D685"/>
    <mergeCell ref="F684:F685"/>
    <mergeCell ref="G684:G685"/>
    <mergeCell ref="H684:H685"/>
    <mergeCell ref="A681:H681"/>
    <mergeCell ref="A682:A683"/>
    <mergeCell ref="B682:B683"/>
    <mergeCell ref="D682:D683"/>
    <mergeCell ref="F682:F683"/>
    <mergeCell ref="G682:G683"/>
    <mergeCell ref="H682:H683"/>
    <mergeCell ref="A678:A679"/>
    <mergeCell ref="B678:B679"/>
    <mergeCell ref="D678:D679"/>
    <mergeCell ref="F678:F679"/>
    <mergeCell ref="G678:G679"/>
    <mergeCell ref="H678:H679"/>
    <mergeCell ref="A676:A677"/>
    <mergeCell ref="B676:B677"/>
    <mergeCell ref="D676:D677"/>
    <mergeCell ref="F676:F677"/>
    <mergeCell ref="G676:G677"/>
    <mergeCell ref="H676:H677"/>
    <mergeCell ref="A674:A675"/>
    <mergeCell ref="B674:B675"/>
    <mergeCell ref="D674:D675"/>
    <mergeCell ref="F674:F675"/>
    <mergeCell ref="G674:G675"/>
    <mergeCell ref="H674:H675"/>
    <mergeCell ref="A672:A673"/>
    <mergeCell ref="B672:B673"/>
    <mergeCell ref="D672:D673"/>
    <mergeCell ref="F672:F673"/>
    <mergeCell ref="G672:G673"/>
    <mergeCell ref="H672:H673"/>
    <mergeCell ref="A670:A671"/>
    <mergeCell ref="B670:B671"/>
    <mergeCell ref="D670:D671"/>
    <mergeCell ref="F670:F671"/>
    <mergeCell ref="G670:G671"/>
    <mergeCell ref="H670:H671"/>
    <mergeCell ref="A668:A669"/>
    <mergeCell ref="B668:B669"/>
    <mergeCell ref="D668:D669"/>
    <mergeCell ref="F668:F669"/>
    <mergeCell ref="G668:G669"/>
    <mergeCell ref="H668:H669"/>
    <mergeCell ref="A666:A667"/>
    <mergeCell ref="B666:B667"/>
    <mergeCell ref="D666:D667"/>
    <mergeCell ref="F666:F667"/>
    <mergeCell ref="G666:G667"/>
    <mergeCell ref="H666:H667"/>
    <mergeCell ref="A664:A665"/>
    <mergeCell ref="B664:B665"/>
    <mergeCell ref="D664:D665"/>
    <mergeCell ref="F664:F665"/>
    <mergeCell ref="G664:G665"/>
    <mergeCell ref="H664:H665"/>
    <mergeCell ref="A662:A663"/>
    <mergeCell ref="B662:B663"/>
    <mergeCell ref="D662:D663"/>
    <mergeCell ref="F662:F663"/>
    <mergeCell ref="G662:G663"/>
    <mergeCell ref="H662:H663"/>
    <mergeCell ref="A660:A661"/>
    <mergeCell ref="B660:B661"/>
    <mergeCell ref="D660:D661"/>
    <mergeCell ref="F660:F661"/>
    <mergeCell ref="G660:G661"/>
    <mergeCell ref="H660:H661"/>
    <mergeCell ref="A658:A659"/>
    <mergeCell ref="B658:B659"/>
    <mergeCell ref="D658:D659"/>
    <mergeCell ref="F658:F659"/>
    <mergeCell ref="G658:G659"/>
    <mergeCell ref="H658:H659"/>
    <mergeCell ref="A656:A657"/>
    <mergeCell ref="B656:B657"/>
    <mergeCell ref="D656:D657"/>
    <mergeCell ref="F656:F657"/>
    <mergeCell ref="G656:G657"/>
    <mergeCell ref="H656:H657"/>
    <mergeCell ref="A654:A655"/>
    <mergeCell ref="B654:B655"/>
    <mergeCell ref="D654:D655"/>
    <mergeCell ref="F654:F655"/>
    <mergeCell ref="G654:G655"/>
    <mergeCell ref="H654:H655"/>
    <mergeCell ref="A652:A653"/>
    <mergeCell ref="B652:B653"/>
    <mergeCell ref="D652:D653"/>
    <mergeCell ref="F652:F653"/>
    <mergeCell ref="G652:G653"/>
    <mergeCell ref="H652:H653"/>
    <mergeCell ref="A650:A651"/>
    <mergeCell ref="B650:B651"/>
    <mergeCell ref="D650:D651"/>
    <mergeCell ref="F650:F651"/>
    <mergeCell ref="G650:G651"/>
    <mergeCell ref="H650:H651"/>
    <mergeCell ref="A647:H647"/>
    <mergeCell ref="A648:A649"/>
    <mergeCell ref="B648:B649"/>
    <mergeCell ref="D648:D649"/>
    <mergeCell ref="F648:F649"/>
    <mergeCell ref="G648:G649"/>
    <mergeCell ref="H648:H649"/>
    <mergeCell ref="A644:A645"/>
    <mergeCell ref="B644:B645"/>
    <mergeCell ref="D644:D645"/>
    <mergeCell ref="F644:F645"/>
    <mergeCell ref="G644:G645"/>
    <mergeCell ref="H644:H645"/>
    <mergeCell ref="A642:A643"/>
    <mergeCell ref="B642:B643"/>
    <mergeCell ref="D642:D643"/>
    <mergeCell ref="F642:F643"/>
    <mergeCell ref="G642:G643"/>
    <mergeCell ref="H642:H643"/>
    <mergeCell ref="A640:A641"/>
    <mergeCell ref="B640:B641"/>
    <mergeCell ref="D640:D641"/>
    <mergeCell ref="F640:F641"/>
    <mergeCell ref="G640:G641"/>
    <mergeCell ref="H640:H641"/>
    <mergeCell ref="A638:A639"/>
    <mergeCell ref="B638:B639"/>
    <mergeCell ref="D638:D639"/>
    <mergeCell ref="F638:F639"/>
    <mergeCell ref="G638:G639"/>
    <mergeCell ref="H638:H639"/>
    <mergeCell ref="A636:A637"/>
    <mergeCell ref="B636:B637"/>
    <mergeCell ref="D636:D637"/>
    <mergeCell ref="F636:F637"/>
    <mergeCell ref="G636:G637"/>
    <mergeCell ref="H636:H637"/>
    <mergeCell ref="A634:A635"/>
    <mergeCell ref="B634:B635"/>
    <mergeCell ref="D634:D635"/>
    <mergeCell ref="F634:F635"/>
    <mergeCell ref="G634:G635"/>
    <mergeCell ref="H634:H635"/>
    <mergeCell ref="A632:A633"/>
    <mergeCell ref="B632:B633"/>
    <mergeCell ref="D632:D633"/>
    <mergeCell ref="F632:F633"/>
    <mergeCell ref="G632:G633"/>
    <mergeCell ref="H632:H633"/>
    <mergeCell ref="A630:A631"/>
    <mergeCell ref="B630:B631"/>
    <mergeCell ref="D630:D631"/>
    <mergeCell ref="F630:F631"/>
    <mergeCell ref="G630:G631"/>
    <mergeCell ref="H630:H631"/>
    <mergeCell ref="A628:A629"/>
    <mergeCell ref="B628:B629"/>
    <mergeCell ref="D628:D629"/>
    <mergeCell ref="F628:F629"/>
    <mergeCell ref="G628:G629"/>
    <mergeCell ref="H628:H629"/>
    <mergeCell ref="A626:A627"/>
    <mergeCell ref="B626:B627"/>
    <mergeCell ref="D626:D627"/>
    <mergeCell ref="F626:F627"/>
    <mergeCell ref="G626:G627"/>
    <mergeCell ref="H626:H627"/>
    <mergeCell ref="A624:A625"/>
    <mergeCell ref="B624:B625"/>
    <mergeCell ref="D624:D625"/>
    <mergeCell ref="F624:F625"/>
    <mergeCell ref="G624:G625"/>
    <mergeCell ref="H624:H625"/>
    <mergeCell ref="A622:A623"/>
    <mergeCell ref="B622:B623"/>
    <mergeCell ref="D622:D623"/>
    <mergeCell ref="F622:F623"/>
    <mergeCell ref="G622:G623"/>
    <mergeCell ref="H622:H623"/>
    <mergeCell ref="A620:A621"/>
    <mergeCell ref="B620:B621"/>
    <mergeCell ref="D620:D621"/>
    <mergeCell ref="F620:F621"/>
    <mergeCell ref="G620:G621"/>
    <mergeCell ref="H620:H621"/>
    <mergeCell ref="A618:A619"/>
    <mergeCell ref="B618:B619"/>
    <mergeCell ref="D618:D619"/>
    <mergeCell ref="F618:F619"/>
    <mergeCell ref="G618:G619"/>
    <mergeCell ref="H618:H619"/>
    <mergeCell ref="A616:A617"/>
    <mergeCell ref="B616:B617"/>
    <mergeCell ref="D616:D617"/>
    <mergeCell ref="F616:F617"/>
    <mergeCell ref="G616:G617"/>
    <mergeCell ref="H616:H617"/>
    <mergeCell ref="A613:H613"/>
    <mergeCell ref="A614:A615"/>
    <mergeCell ref="B614:B615"/>
    <mergeCell ref="D614:D615"/>
    <mergeCell ref="F614:F615"/>
    <mergeCell ref="G614:G615"/>
    <mergeCell ref="H614:H615"/>
    <mergeCell ref="A610:A611"/>
    <mergeCell ref="B610:B611"/>
    <mergeCell ref="D610:D611"/>
    <mergeCell ref="F610:F611"/>
    <mergeCell ref="G610:G611"/>
    <mergeCell ref="H610:H611"/>
    <mergeCell ref="A608:A609"/>
    <mergeCell ref="B608:B609"/>
    <mergeCell ref="D608:D609"/>
    <mergeCell ref="F608:F609"/>
    <mergeCell ref="G608:G609"/>
    <mergeCell ref="H608:H609"/>
    <mergeCell ref="A606:A607"/>
    <mergeCell ref="B606:B607"/>
    <mergeCell ref="D606:D607"/>
    <mergeCell ref="F606:F607"/>
    <mergeCell ref="G606:G607"/>
    <mergeCell ref="H606:H607"/>
    <mergeCell ref="A604:A605"/>
    <mergeCell ref="B604:B605"/>
    <mergeCell ref="D604:D605"/>
    <mergeCell ref="F604:F605"/>
    <mergeCell ref="G604:G605"/>
    <mergeCell ref="H604:H605"/>
    <mergeCell ref="A602:A603"/>
    <mergeCell ref="B602:B603"/>
    <mergeCell ref="D602:D603"/>
    <mergeCell ref="F602:F603"/>
    <mergeCell ref="G602:G603"/>
    <mergeCell ref="H602:H603"/>
    <mergeCell ref="A600:A601"/>
    <mergeCell ref="B600:B601"/>
    <mergeCell ref="D600:D601"/>
    <mergeCell ref="F600:F601"/>
    <mergeCell ref="G600:G601"/>
    <mergeCell ref="H600:H601"/>
    <mergeCell ref="A598:A599"/>
    <mergeCell ref="B598:B599"/>
    <mergeCell ref="D598:D599"/>
    <mergeCell ref="F598:F599"/>
    <mergeCell ref="G598:G599"/>
    <mergeCell ref="H598:H599"/>
    <mergeCell ref="A596:A597"/>
    <mergeCell ref="B596:B597"/>
    <mergeCell ref="D596:D597"/>
    <mergeCell ref="F596:F597"/>
    <mergeCell ref="G596:G597"/>
    <mergeCell ref="H596:H597"/>
    <mergeCell ref="A594:A595"/>
    <mergeCell ref="B594:B595"/>
    <mergeCell ref="D594:D595"/>
    <mergeCell ref="F594:F595"/>
    <mergeCell ref="G594:G595"/>
    <mergeCell ref="H594:H595"/>
    <mergeCell ref="A592:A593"/>
    <mergeCell ref="B592:B593"/>
    <mergeCell ref="D592:D593"/>
    <mergeCell ref="F592:F593"/>
    <mergeCell ref="G592:G593"/>
    <mergeCell ref="H592:H593"/>
    <mergeCell ref="A590:A591"/>
    <mergeCell ref="B590:B591"/>
    <mergeCell ref="D590:D591"/>
    <mergeCell ref="F590:F591"/>
    <mergeCell ref="G590:G591"/>
    <mergeCell ref="H590:H591"/>
    <mergeCell ref="A588:A589"/>
    <mergeCell ref="B588:B589"/>
    <mergeCell ref="D588:D589"/>
    <mergeCell ref="F588:F589"/>
    <mergeCell ref="G588:G589"/>
    <mergeCell ref="H588:H589"/>
    <mergeCell ref="A586:A587"/>
    <mergeCell ref="B586:B587"/>
    <mergeCell ref="D586:D587"/>
    <mergeCell ref="F586:F587"/>
    <mergeCell ref="G586:G587"/>
    <mergeCell ref="H586:H587"/>
    <mergeCell ref="A584:A585"/>
    <mergeCell ref="B584:B585"/>
    <mergeCell ref="D584:D585"/>
    <mergeCell ref="F584:F585"/>
    <mergeCell ref="G584:G585"/>
    <mergeCell ref="H584:H585"/>
    <mergeCell ref="A582:A583"/>
    <mergeCell ref="B582:B583"/>
    <mergeCell ref="D582:D583"/>
    <mergeCell ref="F582:F583"/>
    <mergeCell ref="G582:G583"/>
    <mergeCell ref="H582:H583"/>
    <mergeCell ref="A579:H579"/>
    <mergeCell ref="A580:A581"/>
    <mergeCell ref="B580:B581"/>
    <mergeCell ref="D580:D581"/>
    <mergeCell ref="F580:F581"/>
    <mergeCell ref="G580:G581"/>
    <mergeCell ref="H580:H581"/>
    <mergeCell ref="A576:A577"/>
    <mergeCell ref="B576:B577"/>
    <mergeCell ref="D576:D577"/>
    <mergeCell ref="F576:F577"/>
    <mergeCell ref="G576:G577"/>
    <mergeCell ref="H576:H577"/>
    <mergeCell ref="A574:A575"/>
    <mergeCell ref="B574:B575"/>
    <mergeCell ref="D574:D575"/>
    <mergeCell ref="F574:F575"/>
    <mergeCell ref="G574:G575"/>
    <mergeCell ref="H574:H575"/>
    <mergeCell ref="A572:A573"/>
    <mergeCell ref="B572:B573"/>
    <mergeCell ref="D572:D573"/>
    <mergeCell ref="F572:F573"/>
    <mergeCell ref="G572:G573"/>
    <mergeCell ref="H572:H573"/>
    <mergeCell ref="A570:A571"/>
    <mergeCell ref="B570:B571"/>
    <mergeCell ref="D570:D571"/>
    <mergeCell ref="F570:F571"/>
    <mergeCell ref="G570:G571"/>
    <mergeCell ref="H570:H571"/>
    <mergeCell ref="A568:A569"/>
    <mergeCell ref="B568:B569"/>
    <mergeCell ref="D568:D569"/>
    <mergeCell ref="F568:F569"/>
    <mergeCell ref="G568:G569"/>
    <mergeCell ref="H568:H569"/>
    <mergeCell ref="A566:A567"/>
    <mergeCell ref="B566:B567"/>
    <mergeCell ref="D566:D567"/>
    <mergeCell ref="F566:F567"/>
    <mergeCell ref="G566:G567"/>
    <mergeCell ref="H566:H567"/>
    <mergeCell ref="A564:A565"/>
    <mergeCell ref="B564:B565"/>
    <mergeCell ref="D564:D565"/>
    <mergeCell ref="F564:F565"/>
    <mergeCell ref="G564:G565"/>
    <mergeCell ref="H564:H565"/>
    <mergeCell ref="A562:A563"/>
    <mergeCell ref="B562:B563"/>
    <mergeCell ref="D562:D563"/>
    <mergeCell ref="F562:F563"/>
    <mergeCell ref="G562:G563"/>
    <mergeCell ref="H562:H563"/>
    <mergeCell ref="A560:A561"/>
    <mergeCell ref="B560:B561"/>
    <mergeCell ref="D560:D561"/>
    <mergeCell ref="F560:F561"/>
    <mergeCell ref="G560:G561"/>
    <mergeCell ref="H560:H561"/>
    <mergeCell ref="A558:A559"/>
    <mergeCell ref="B558:B559"/>
    <mergeCell ref="D558:D559"/>
    <mergeCell ref="F558:F559"/>
    <mergeCell ref="G558:G559"/>
    <mergeCell ref="H558:H559"/>
    <mergeCell ref="A556:A557"/>
    <mergeCell ref="B556:B557"/>
    <mergeCell ref="D556:D557"/>
    <mergeCell ref="F556:F557"/>
    <mergeCell ref="G556:G557"/>
    <mergeCell ref="H556:H557"/>
    <mergeCell ref="A554:A555"/>
    <mergeCell ref="B554:B555"/>
    <mergeCell ref="D554:D555"/>
    <mergeCell ref="F554:F555"/>
    <mergeCell ref="G554:G555"/>
    <mergeCell ref="H554:H555"/>
    <mergeCell ref="A552:A553"/>
    <mergeCell ref="B552:B553"/>
    <mergeCell ref="D552:D553"/>
    <mergeCell ref="F552:F553"/>
    <mergeCell ref="G552:G553"/>
    <mergeCell ref="H552:H553"/>
    <mergeCell ref="A550:A551"/>
    <mergeCell ref="B550:B551"/>
    <mergeCell ref="D550:D551"/>
    <mergeCell ref="F550:F551"/>
    <mergeCell ref="G550:G551"/>
    <mergeCell ref="H550:H551"/>
    <mergeCell ref="A548:A549"/>
    <mergeCell ref="B548:B549"/>
    <mergeCell ref="D548:D549"/>
    <mergeCell ref="F548:F549"/>
    <mergeCell ref="G548:G549"/>
    <mergeCell ref="H548:H549"/>
    <mergeCell ref="A545:H545"/>
    <mergeCell ref="A546:A547"/>
    <mergeCell ref="B546:B547"/>
    <mergeCell ref="D546:D547"/>
    <mergeCell ref="F546:F547"/>
    <mergeCell ref="G546:G547"/>
    <mergeCell ref="H546:H547"/>
    <mergeCell ref="A542:A543"/>
    <mergeCell ref="B542:B543"/>
    <mergeCell ref="D542:D543"/>
    <mergeCell ref="F542:F543"/>
    <mergeCell ref="G542:G543"/>
    <mergeCell ref="H542:H543"/>
    <mergeCell ref="A540:A541"/>
    <mergeCell ref="B540:B541"/>
    <mergeCell ref="D540:D541"/>
    <mergeCell ref="F540:F541"/>
    <mergeCell ref="G540:G541"/>
    <mergeCell ref="H540:H541"/>
    <mergeCell ref="A538:A539"/>
    <mergeCell ref="B538:B539"/>
    <mergeCell ref="D538:D539"/>
    <mergeCell ref="F538:F539"/>
    <mergeCell ref="G538:G539"/>
    <mergeCell ref="H538:H539"/>
    <mergeCell ref="A536:A537"/>
    <mergeCell ref="B536:B537"/>
    <mergeCell ref="D536:D537"/>
    <mergeCell ref="F536:F537"/>
    <mergeCell ref="G536:G537"/>
    <mergeCell ref="H536:H537"/>
    <mergeCell ref="A534:A535"/>
    <mergeCell ref="B534:B535"/>
    <mergeCell ref="D534:D535"/>
    <mergeCell ref="F534:F535"/>
    <mergeCell ref="G534:G535"/>
    <mergeCell ref="H534:H535"/>
    <mergeCell ref="A532:A533"/>
    <mergeCell ref="B532:B533"/>
    <mergeCell ref="D532:D533"/>
    <mergeCell ref="F532:F533"/>
    <mergeCell ref="G532:G533"/>
    <mergeCell ref="H532:H533"/>
    <mergeCell ref="A530:A531"/>
    <mergeCell ref="B530:B531"/>
    <mergeCell ref="D530:D531"/>
    <mergeCell ref="F530:F531"/>
    <mergeCell ref="G530:G531"/>
    <mergeCell ref="H530:H531"/>
    <mergeCell ref="A528:A529"/>
    <mergeCell ref="B528:B529"/>
    <mergeCell ref="D528:D529"/>
    <mergeCell ref="F528:F529"/>
    <mergeCell ref="G528:G529"/>
    <mergeCell ref="H528:H529"/>
    <mergeCell ref="A526:A527"/>
    <mergeCell ref="B526:B527"/>
    <mergeCell ref="D526:D527"/>
    <mergeCell ref="F526:F527"/>
    <mergeCell ref="G526:G527"/>
    <mergeCell ref="H526:H527"/>
    <mergeCell ref="A524:A525"/>
    <mergeCell ref="B524:B525"/>
    <mergeCell ref="D524:D525"/>
    <mergeCell ref="F524:F525"/>
    <mergeCell ref="G524:G525"/>
    <mergeCell ref="H524:H525"/>
    <mergeCell ref="A522:A523"/>
    <mergeCell ref="B522:B523"/>
    <mergeCell ref="D522:D523"/>
    <mergeCell ref="F522:F523"/>
    <mergeCell ref="G522:G523"/>
    <mergeCell ref="H522:H523"/>
    <mergeCell ref="A520:A521"/>
    <mergeCell ref="B520:B521"/>
    <mergeCell ref="D520:D521"/>
    <mergeCell ref="F520:F521"/>
    <mergeCell ref="G520:G521"/>
    <mergeCell ref="H520:H521"/>
    <mergeCell ref="A518:A519"/>
    <mergeCell ref="B518:B519"/>
    <mergeCell ref="D518:D519"/>
    <mergeCell ref="F518:F519"/>
    <mergeCell ref="G518:G519"/>
    <mergeCell ref="H518:H519"/>
    <mergeCell ref="A516:A517"/>
    <mergeCell ref="B516:B517"/>
    <mergeCell ref="D516:D517"/>
    <mergeCell ref="F516:F517"/>
    <mergeCell ref="G516:G517"/>
    <mergeCell ref="H516:H517"/>
    <mergeCell ref="A514:A515"/>
    <mergeCell ref="B514:B515"/>
    <mergeCell ref="D514:D515"/>
    <mergeCell ref="F514:F515"/>
    <mergeCell ref="G514:G515"/>
    <mergeCell ref="H514:H515"/>
    <mergeCell ref="A511:H511"/>
    <mergeCell ref="A512:A513"/>
    <mergeCell ref="B512:B513"/>
    <mergeCell ref="D512:D513"/>
    <mergeCell ref="F512:F513"/>
    <mergeCell ref="G512:G513"/>
    <mergeCell ref="H512:H513"/>
    <mergeCell ref="A508:A509"/>
    <mergeCell ref="B508:B509"/>
    <mergeCell ref="D508:D509"/>
    <mergeCell ref="F508:F509"/>
    <mergeCell ref="G508:G509"/>
    <mergeCell ref="H508:H509"/>
    <mergeCell ref="A506:A507"/>
    <mergeCell ref="B506:B507"/>
    <mergeCell ref="D506:D507"/>
    <mergeCell ref="F506:F507"/>
    <mergeCell ref="G506:G507"/>
    <mergeCell ref="H506:H507"/>
    <mergeCell ref="A504:A505"/>
    <mergeCell ref="B504:B505"/>
    <mergeCell ref="D504:D505"/>
    <mergeCell ref="F504:F505"/>
    <mergeCell ref="G504:G505"/>
    <mergeCell ref="H504:H505"/>
    <mergeCell ref="A502:A503"/>
    <mergeCell ref="B502:B503"/>
    <mergeCell ref="D502:D503"/>
    <mergeCell ref="F502:F503"/>
    <mergeCell ref="G502:G503"/>
    <mergeCell ref="H502:H503"/>
    <mergeCell ref="A500:A501"/>
    <mergeCell ref="B500:B501"/>
    <mergeCell ref="D500:D501"/>
    <mergeCell ref="F500:F501"/>
    <mergeCell ref="G500:G501"/>
    <mergeCell ref="H500:H501"/>
    <mergeCell ref="A498:A499"/>
    <mergeCell ref="B498:B499"/>
    <mergeCell ref="D498:D499"/>
    <mergeCell ref="F498:F499"/>
    <mergeCell ref="G498:G499"/>
    <mergeCell ref="H498:H499"/>
    <mergeCell ref="A496:A497"/>
    <mergeCell ref="B496:B497"/>
    <mergeCell ref="D496:D497"/>
    <mergeCell ref="F496:F497"/>
    <mergeCell ref="G496:G497"/>
    <mergeCell ref="H496:H497"/>
    <mergeCell ref="A494:A495"/>
    <mergeCell ref="B494:B495"/>
    <mergeCell ref="D494:D495"/>
    <mergeCell ref="F494:F495"/>
    <mergeCell ref="G494:G495"/>
    <mergeCell ref="H494:H495"/>
    <mergeCell ref="A492:A493"/>
    <mergeCell ref="B492:B493"/>
    <mergeCell ref="D492:D493"/>
    <mergeCell ref="F492:F493"/>
    <mergeCell ref="G492:G493"/>
    <mergeCell ref="H492:H493"/>
    <mergeCell ref="A490:A491"/>
    <mergeCell ref="B490:B491"/>
    <mergeCell ref="D490:D491"/>
    <mergeCell ref="F490:F491"/>
    <mergeCell ref="G490:G491"/>
    <mergeCell ref="H490:H491"/>
    <mergeCell ref="A488:A489"/>
    <mergeCell ref="B488:B489"/>
    <mergeCell ref="D488:D489"/>
    <mergeCell ref="F488:F489"/>
    <mergeCell ref="G488:G489"/>
    <mergeCell ref="H488:H489"/>
    <mergeCell ref="A486:A487"/>
    <mergeCell ref="B486:B487"/>
    <mergeCell ref="D486:D487"/>
    <mergeCell ref="F486:F487"/>
    <mergeCell ref="G486:G487"/>
    <mergeCell ref="H486:H487"/>
    <mergeCell ref="A484:A485"/>
    <mergeCell ref="B484:B485"/>
    <mergeCell ref="D484:D485"/>
    <mergeCell ref="F484:F485"/>
    <mergeCell ref="G484:G485"/>
    <mergeCell ref="H484:H485"/>
    <mergeCell ref="A482:A483"/>
    <mergeCell ref="B482:B483"/>
    <mergeCell ref="D482:D483"/>
    <mergeCell ref="F482:F483"/>
    <mergeCell ref="G482:G483"/>
    <mergeCell ref="H482:H483"/>
    <mergeCell ref="A480:A481"/>
    <mergeCell ref="B480:B481"/>
    <mergeCell ref="D480:D481"/>
    <mergeCell ref="F480:F481"/>
    <mergeCell ref="G480:G481"/>
    <mergeCell ref="H480:H481"/>
    <mergeCell ref="A477:H477"/>
    <mergeCell ref="A478:A479"/>
    <mergeCell ref="B478:B479"/>
    <mergeCell ref="D478:D479"/>
    <mergeCell ref="F478:F479"/>
    <mergeCell ref="G478:G479"/>
    <mergeCell ref="H478:H479"/>
    <mergeCell ref="A474:A475"/>
    <mergeCell ref="B474:B475"/>
    <mergeCell ref="D474:D475"/>
    <mergeCell ref="F474:F475"/>
    <mergeCell ref="G474:G475"/>
    <mergeCell ref="H474:H475"/>
    <mergeCell ref="A472:A473"/>
    <mergeCell ref="B472:B473"/>
    <mergeCell ref="D472:D473"/>
    <mergeCell ref="F472:F473"/>
    <mergeCell ref="G472:G473"/>
    <mergeCell ref="H472:H473"/>
    <mergeCell ref="A470:A471"/>
    <mergeCell ref="B470:B471"/>
    <mergeCell ref="D470:D471"/>
    <mergeCell ref="F470:F471"/>
    <mergeCell ref="G470:G471"/>
    <mergeCell ref="H470:H471"/>
    <mergeCell ref="A468:A469"/>
    <mergeCell ref="B468:B469"/>
    <mergeCell ref="D468:D469"/>
    <mergeCell ref="F468:F469"/>
    <mergeCell ref="G468:G469"/>
    <mergeCell ref="H468:H469"/>
    <mergeCell ref="A466:A467"/>
    <mergeCell ref="B466:B467"/>
    <mergeCell ref="D466:D467"/>
    <mergeCell ref="F466:F467"/>
    <mergeCell ref="G466:G467"/>
    <mergeCell ref="H466:H467"/>
    <mergeCell ref="A464:A465"/>
    <mergeCell ref="B464:B465"/>
    <mergeCell ref="D464:D465"/>
    <mergeCell ref="F464:F465"/>
    <mergeCell ref="G464:G465"/>
    <mergeCell ref="H464:H465"/>
    <mergeCell ref="A462:A463"/>
    <mergeCell ref="B462:B463"/>
    <mergeCell ref="D462:D463"/>
    <mergeCell ref="F462:F463"/>
    <mergeCell ref="G462:G463"/>
    <mergeCell ref="H462:H463"/>
    <mergeCell ref="A460:A461"/>
    <mergeCell ref="B460:B461"/>
    <mergeCell ref="D460:D461"/>
    <mergeCell ref="F460:F461"/>
    <mergeCell ref="G460:G461"/>
    <mergeCell ref="H460:H461"/>
    <mergeCell ref="A458:A459"/>
    <mergeCell ref="B458:B459"/>
    <mergeCell ref="D458:D459"/>
    <mergeCell ref="F458:F459"/>
    <mergeCell ref="G458:G459"/>
    <mergeCell ref="H458:H459"/>
    <mergeCell ref="A456:A457"/>
    <mergeCell ref="B456:B457"/>
    <mergeCell ref="D456:D457"/>
    <mergeCell ref="F456:F457"/>
    <mergeCell ref="G456:G457"/>
    <mergeCell ref="H456:H457"/>
    <mergeCell ref="A454:A455"/>
    <mergeCell ref="B454:B455"/>
    <mergeCell ref="D454:D455"/>
    <mergeCell ref="F454:F455"/>
    <mergeCell ref="G454:G455"/>
    <mergeCell ref="H454:H455"/>
    <mergeCell ref="A452:A453"/>
    <mergeCell ref="B452:B453"/>
    <mergeCell ref="D452:D453"/>
    <mergeCell ref="F452:F453"/>
    <mergeCell ref="G452:G453"/>
    <mergeCell ref="H452:H453"/>
    <mergeCell ref="A450:A451"/>
    <mergeCell ref="B450:B451"/>
    <mergeCell ref="D450:D451"/>
    <mergeCell ref="F450:F451"/>
    <mergeCell ref="G450:G451"/>
    <mergeCell ref="H450:H451"/>
    <mergeCell ref="A448:A449"/>
    <mergeCell ref="B448:B449"/>
    <mergeCell ref="D448:D449"/>
    <mergeCell ref="F448:F449"/>
    <mergeCell ref="G448:G449"/>
    <mergeCell ref="H448:H449"/>
    <mergeCell ref="A446:A447"/>
    <mergeCell ref="B446:B447"/>
    <mergeCell ref="D446:D447"/>
    <mergeCell ref="F446:F447"/>
    <mergeCell ref="G446:G447"/>
    <mergeCell ref="H446:H447"/>
    <mergeCell ref="A443:H443"/>
    <mergeCell ref="A444:A445"/>
    <mergeCell ref="B444:B445"/>
    <mergeCell ref="D444:D445"/>
    <mergeCell ref="F444:F445"/>
    <mergeCell ref="G444:G445"/>
    <mergeCell ref="H444:H445"/>
    <mergeCell ref="A440:A441"/>
    <mergeCell ref="B440:B441"/>
    <mergeCell ref="D440:D441"/>
    <mergeCell ref="F440:F441"/>
    <mergeCell ref="G440:G441"/>
    <mergeCell ref="H440:H441"/>
    <mergeCell ref="A438:A439"/>
    <mergeCell ref="B438:B439"/>
    <mergeCell ref="D438:D439"/>
    <mergeCell ref="F438:F439"/>
    <mergeCell ref="G438:G439"/>
    <mergeCell ref="H438:H439"/>
    <mergeCell ref="A436:A437"/>
    <mergeCell ref="B436:B437"/>
    <mergeCell ref="D436:D437"/>
    <mergeCell ref="F436:F437"/>
    <mergeCell ref="G436:G437"/>
    <mergeCell ref="H436:H437"/>
    <mergeCell ref="A434:A435"/>
    <mergeCell ref="B434:B435"/>
    <mergeCell ref="D434:D435"/>
    <mergeCell ref="F434:F435"/>
    <mergeCell ref="G434:G435"/>
    <mergeCell ref="H434:H435"/>
    <mergeCell ref="A432:A433"/>
    <mergeCell ref="B432:B433"/>
    <mergeCell ref="D432:D433"/>
    <mergeCell ref="F432:F433"/>
    <mergeCell ref="G432:G433"/>
    <mergeCell ref="H432:H433"/>
    <mergeCell ref="A430:A431"/>
    <mergeCell ref="B430:B431"/>
    <mergeCell ref="D430:D431"/>
    <mergeCell ref="F430:F431"/>
    <mergeCell ref="G430:G431"/>
    <mergeCell ref="H430:H431"/>
    <mergeCell ref="A428:A429"/>
    <mergeCell ref="B428:B429"/>
    <mergeCell ref="D428:D429"/>
    <mergeCell ref="F428:F429"/>
    <mergeCell ref="G428:G429"/>
    <mergeCell ref="H428:H429"/>
    <mergeCell ref="A426:A427"/>
    <mergeCell ref="B426:B427"/>
    <mergeCell ref="D426:D427"/>
    <mergeCell ref="F426:F427"/>
    <mergeCell ref="G426:G427"/>
    <mergeCell ref="H426:H427"/>
    <mergeCell ref="A424:A425"/>
    <mergeCell ref="B424:B425"/>
    <mergeCell ref="D424:D425"/>
    <mergeCell ref="F424:F425"/>
    <mergeCell ref="G424:G425"/>
    <mergeCell ref="H424:H425"/>
    <mergeCell ref="A422:A423"/>
    <mergeCell ref="B422:B423"/>
    <mergeCell ref="D422:D423"/>
    <mergeCell ref="F422:F423"/>
    <mergeCell ref="G422:G423"/>
    <mergeCell ref="H422:H423"/>
    <mergeCell ref="A420:A421"/>
    <mergeCell ref="B420:B421"/>
    <mergeCell ref="D420:D421"/>
    <mergeCell ref="F420:F421"/>
    <mergeCell ref="G420:G421"/>
    <mergeCell ref="H420:H421"/>
    <mergeCell ref="A418:A419"/>
    <mergeCell ref="B418:B419"/>
    <mergeCell ref="D418:D419"/>
    <mergeCell ref="F418:F419"/>
    <mergeCell ref="G418:G419"/>
    <mergeCell ref="H418:H419"/>
    <mergeCell ref="A416:A417"/>
    <mergeCell ref="B416:B417"/>
    <mergeCell ref="D416:D417"/>
    <mergeCell ref="F416:F417"/>
    <mergeCell ref="G416:G417"/>
    <mergeCell ref="H416:H417"/>
    <mergeCell ref="A414:A415"/>
    <mergeCell ref="B414:B415"/>
    <mergeCell ref="D414:D415"/>
    <mergeCell ref="F414:F415"/>
    <mergeCell ref="G414:G415"/>
    <mergeCell ref="H414:H415"/>
    <mergeCell ref="A412:A413"/>
    <mergeCell ref="B412:B413"/>
    <mergeCell ref="D412:D413"/>
    <mergeCell ref="F412:F413"/>
    <mergeCell ref="G412:G413"/>
    <mergeCell ref="H412:H413"/>
    <mergeCell ref="A409:H409"/>
    <mergeCell ref="A410:A411"/>
    <mergeCell ref="B410:B411"/>
    <mergeCell ref="D410:D411"/>
    <mergeCell ref="F410:F411"/>
    <mergeCell ref="G410:G411"/>
    <mergeCell ref="H410:H411"/>
    <mergeCell ref="A406:A407"/>
    <mergeCell ref="B406:B407"/>
    <mergeCell ref="D406:D407"/>
    <mergeCell ref="F406:F407"/>
    <mergeCell ref="G406:G407"/>
    <mergeCell ref="H406:H407"/>
    <mergeCell ref="A404:A405"/>
    <mergeCell ref="B404:B405"/>
    <mergeCell ref="D404:D405"/>
    <mergeCell ref="F404:F405"/>
    <mergeCell ref="G404:G405"/>
    <mergeCell ref="H404:H405"/>
    <mergeCell ref="A402:A403"/>
    <mergeCell ref="B402:B403"/>
    <mergeCell ref="D402:D403"/>
    <mergeCell ref="F402:F403"/>
    <mergeCell ref="G402:G403"/>
    <mergeCell ref="H402:H403"/>
    <mergeCell ref="A400:A401"/>
    <mergeCell ref="B400:B401"/>
    <mergeCell ref="D400:D401"/>
    <mergeCell ref="F400:F401"/>
    <mergeCell ref="G400:G401"/>
    <mergeCell ref="H400:H401"/>
    <mergeCell ref="A398:A399"/>
    <mergeCell ref="B398:B399"/>
    <mergeCell ref="D398:D399"/>
    <mergeCell ref="F398:F399"/>
    <mergeCell ref="G398:G399"/>
    <mergeCell ref="H398:H399"/>
    <mergeCell ref="A396:A397"/>
    <mergeCell ref="B396:B397"/>
    <mergeCell ref="D396:D397"/>
    <mergeCell ref="F396:F397"/>
    <mergeCell ref="G396:G397"/>
    <mergeCell ref="H396:H397"/>
    <mergeCell ref="A394:A395"/>
    <mergeCell ref="B394:B395"/>
    <mergeCell ref="D394:D395"/>
    <mergeCell ref="F394:F395"/>
    <mergeCell ref="G394:G395"/>
    <mergeCell ref="H394:H395"/>
    <mergeCell ref="A392:A393"/>
    <mergeCell ref="B392:B393"/>
    <mergeCell ref="D392:D393"/>
    <mergeCell ref="F392:F393"/>
    <mergeCell ref="G392:G393"/>
    <mergeCell ref="H392:H393"/>
    <mergeCell ref="A390:A391"/>
    <mergeCell ref="B390:B391"/>
    <mergeCell ref="D390:D391"/>
    <mergeCell ref="F390:F391"/>
    <mergeCell ref="G390:G391"/>
    <mergeCell ref="H390:H391"/>
    <mergeCell ref="A388:A389"/>
    <mergeCell ref="B388:B389"/>
    <mergeCell ref="D388:D389"/>
    <mergeCell ref="F388:F389"/>
    <mergeCell ref="G388:G389"/>
    <mergeCell ref="H388:H389"/>
    <mergeCell ref="A386:A387"/>
    <mergeCell ref="B386:B387"/>
    <mergeCell ref="D386:D387"/>
    <mergeCell ref="F386:F387"/>
    <mergeCell ref="G386:G387"/>
    <mergeCell ref="H386:H387"/>
    <mergeCell ref="A384:A385"/>
    <mergeCell ref="B384:B385"/>
    <mergeCell ref="D384:D385"/>
    <mergeCell ref="F384:F385"/>
    <mergeCell ref="G384:G385"/>
    <mergeCell ref="H384:H385"/>
    <mergeCell ref="A382:A383"/>
    <mergeCell ref="B382:B383"/>
    <mergeCell ref="D382:D383"/>
    <mergeCell ref="F382:F383"/>
    <mergeCell ref="G382:G383"/>
    <mergeCell ref="H382:H383"/>
    <mergeCell ref="A380:A381"/>
    <mergeCell ref="B380:B381"/>
    <mergeCell ref="D380:D381"/>
    <mergeCell ref="F380:F381"/>
    <mergeCell ref="G380:G381"/>
    <mergeCell ref="H380:H381"/>
    <mergeCell ref="A378:A379"/>
    <mergeCell ref="B378:B379"/>
    <mergeCell ref="D378:D379"/>
    <mergeCell ref="F378:F379"/>
    <mergeCell ref="G378:G379"/>
    <mergeCell ref="H378:H379"/>
    <mergeCell ref="A375:H375"/>
    <mergeCell ref="A376:A377"/>
    <mergeCell ref="B376:B377"/>
    <mergeCell ref="D376:D377"/>
    <mergeCell ref="F376:F377"/>
    <mergeCell ref="G376:G377"/>
    <mergeCell ref="H376:H377"/>
    <mergeCell ref="A372:A373"/>
    <mergeCell ref="B372:B373"/>
    <mergeCell ref="D372:D373"/>
    <mergeCell ref="F372:F373"/>
    <mergeCell ref="G372:G373"/>
    <mergeCell ref="H372:H373"/>
    <mergeCell ref="A370:A371"/>
    <mergeCell ref="B370:B371"/>
    <mergeCell ref="D370:D371"/>
    <mergeCell ref="F370:F371"/>
    <mergeCell ref="G370:G371"/>
    <mergeCell ref="H370:H371"/>
    <mergeCell ref="A368:A369"/>
    <mergeCell ref="B368:B369"/>
    <mergeCell ref="D368:D369"/>
    <mergeCell ref="F368:F369"/>
    <mergeCell ref="G368:G369"/>
    <mergeCell ref="H368:H369"/>
    <mergeCell ref="A366:A367"/>
    <mergeCell ref="B366:B367"/>
    <mergeCell ref="D366:D367"/>
    <mergeCell ref="F366:F367"/>
    <mergeCell ref="G366:G367"/>
    <mergeCell ref="H366:H367"/>
    <mergeCell ref="A364:A365"/>
    <mergeCell ref="B364:B365"/>
    <mergeCell ref="D364:D365"/>
    <mergeCell ref="F364:F365"/>
    <mergeCell ref="G364:G365"/>
    <mergeCell ref="H364:H365"/>
    <mergeCell ref="A362:A363"/>
    <mergeCell ref="B362:B363"/>
    <mergeCell ref="D362:D363"/>
    <mergeCell ref="F362:F363"/>
    <mergeCell ref="G362:G363"/>
    <mergeCell ref="H362:H363"/>
    <mergeCell ref="A360:A361"/>
    <mergeCell ref="B360:B361"/>
    <mergeCell ref="D360:D361"/>
    <mergeCell ref="F360:F361"/>
    <mergeCell ref="G360:G361"/>
    <mergeCell ref="H360:H361"/>
    <mergeCell ref="A358:A359"/>
    <mergeCell ref="B358:B359"/>
    <mergeCell ref="D358:D359"/>
    <mergeCell ref="F358:F359"/>
    <mergeCell ref="G358:G359"/>
    <mergeCell ref="H358:H359"/>
    <mergeCell ref="A356:A357"/>
    <mergeCell ref="B356:B357"/>
    <mergeCell ref="D356:D357"/>
    <mergeCell ref="F356:F357"/>
    <mergeCell ref="G356:G357"/>
    <mergeCell ref="H356:H357"/>
    <mergeCell ref="A354:A355"/>
    <mergeCell ref="B354:B355"/>
    <mergeCell ref="D354:D355"/>
    <mergeCell ref="F354:F355"/>
    <mergeCell ref="G354:G355"/>
    <mergeCell ref="H354:H355"/>
    <mergeCell ref="A352:A353"/>
    <mergeCell ref="B352:B353"/>
    <mergeCell ref="D352:D353"/>
    <mergeCell ref="F352:F353"/>
    <mergeCell ref="G352:G353"/>
    <mergeCell ref="H352:H353"/>
    <mergeCell ref="A350:A351"/>
    <mergeCell ref="B350:B351"/>
    <mergeCell ref="D350:D351"/>
    <mergeCell ref="F350:F351"/>
    <mergeCell ref="G350:G351"/>
    <mergeCell ref="H350:H351"/>
    <mergeCell ref="A348:A349"/>
    <mergeCell ref="B348:B349"/>
    <mergeCell ref="D348:D349"/>
    <mergeCell ref="F348:F349"/>
    <mergeCell ref="G348:G349"/>
    <mergeCell ref="H348:H349"/>
    <mergeCell ref="A346:A347"/>
    <mergeCell ref="B346:B347"/>
    <mergeCell ref="D346:D347"/>
    <mergeCell ref="F346:F347"/>
    <mergeCell ref="G346:G347"/>
    <mergeCell ref="H346:H347"/>
    <mergeCell ref="A344:A345"/>
    <mergeCell ref="B344:B345"/>
    <mergeCell ref="D344:D345"/>
    <mergeCell ref="F344:F345"/>
    <mergeCell ref="G344:G345"/>
    <mergeCell ref="H344:H345"/>
    <mergeCell ref="A341:H341"/>
    <mergeCell ref="A342:A343"/>
    <mergeCell ref="B342:B343"/>
    <mergeCell ref="D342:D343"/>
    <mergeCell ref="F342:F343"/>
    <mergeCell ref="G342:G343"/>
    <mergeCell ref="H342:H343"/>
    <mergeCell ref="A338:A339"/>
    <mergeCell ref="B338:B339"/>
    <mergeCell ref="D338:D339"/>
    <mergeCell ref="F338:F339"/>
    <mergeCell ref="G338:G339"/>
    <mergeCell ref="H338:H339"/>
    <mergeCell ref="A336:A337"/>
    <mergeCell ref="B336:B337"/>
    <mergeCell ref="D336:D337"/>
    <mergeCell ref="F336:F337"/>
    <mergeCell ref="G336:G337"/>
    <mergeCell ref="H336:H337"/>
    <mergeCell ref="A334:A335"/>
    <mergeCell ref="B334:B335"/>
    <mergeCell ref="D334:D335"/>
    <mergeCell ref="F334:F335"/>
    <mergeCell ref="G334:G335"/>
    <mergeCell ref="H334:H335"/>
    <mergeCell ref="A332:A333"/>
    <mergeCell ref="B332:B333"/>
    <mergeCell ref="D332:D333"/>
    <mergeCell ref="F332:F333"/>
    <mergeCell ref="G332:G333"/>
    <mergeCell ref="H332:H333"/>
    <mergeCell ref="A330:A331"/>
    <mergeCell ref="B330:B331"/>
    <mergeCell ref="D330:D331"/>
    <mergeCell ref="F330:F331"/>
    <mergeCell ref="G330:G331"/>
    <mergeCell ref="H330:H331"/>
    <mergeCell ref="A328:A329"/>
    <mergeCell ref="B328:B329"/>
    <mergeCell ref="D328:D329"/>
    <mergeCell ref="F328:F329"/>
    <mergeCell ref="G328:G329"/>
    <mergeCell ref="H328:H329"/>
    <mergeCell ref="A326:A327"/>
    <mergeCell ref="B326:B327"/>
    <mergeCell ref="D326:D327"/>
    <mergeCell ref="F326:F327"/>
    <mergeCell ref="G326:G327"/>
    <mergeCell ref="H326:H327"/>
    <mergeCell ref="A324:A325"/>
    <mergeCell ref="B324:B325"/>
    <mergeCell ref="D324:D325"/>
    <mergeCell ref="F324:F325"/>
    <mergeCell ref="G324:G325"/>
    <mergeCell ref="H324:H325"/>
    <mergeCell ref="A322:A323"/>
    <mergeCell ref="B322:B323"/>
    <mergeCell ref="D322:D323"/>
    <mergeCell ref="F322:F323"/>
    <mergeCell ref="G322:G323"/>
    <mergeCell ref="H322:H323"/>
    <mergeCell ref="A320:A321"/>
    <mergeCell ref="B320:B321"/>
    <mergeCell ref="D320:D321"/>
    <mergeCell ref="F320:F321"/>
    <mergeCell ref="G320:G321"/>
    <mergeCell ref="H320:H321"/>
    <mergeCell ref="A318:A319"/>
    <mergeCell ref="B318:B319"/>
    <mergeCell ref="D318:D319"/>
    <mergeCell ref="F318:F319"/>
    <mergeCell ref="G318:G319"/>
    <mergeCell ref="H318:H319"/>
    <mergeCell ref="A316:A317"/>
    <mergeCell ref="B316:B317"/>
    <mergeCell ref="D316:D317"/>
    <mergeCell ref="F316:F317"/>
    <mergeCell ref="G316:G317"/>
    <mergeCell ref="H316:H317"/>
    <mergeCell ref="A314:A315"/>
    <mergeCell ref="B314:B315"/>
    <mergeCell ref="D314:D315"/>
    <mergeCell ref="F314:F315"/>
    <mergeCell ref="G314:G315"/>
    <mergeCell ref="H314:H315"/>
    <mergeCell ref="A312:A313"/>
    <mergeCell ref="B312:B313"/>
    <mergeCell ref="D312:D313"/>
    <mergeCell ref="F312:F313"/>
    <mergeCell ref="G312:G313"/>
    <mergeCell ref="H312:H313"/>
    <mergeCell ref="A310:A311"/>
    <mergeCell ref="B310:B311"/>
    <mergeCell ref="D310:D311"/>
    <mergeCell ref="F310:F311"/>
    <mergeCell ref="G310:G311"/>
    <mergeCell ref="H310:H311"/>
    <mergeCell ref="A307:H307"/>
    <mergeCell ref="A308:A309"/>
    <mergeCell ref="B308:B309"/>
    <mergeCell ref="D308:D309"/>
    <mergeCell ref="F308:F309"/>
    <mergeCell ref="G308:G309"/>
    <mergeCell ref="H308:H309"/>
    <mergeCell ref="A304:A305"/>
    <mergeCell ref="B304:B305"/>
    <mergeCell ref="D304:D305"/>
    <mergeCell ref="F304:F305"/>
    <mergeCell ref="G304:G305"/>
    <mergeCell ref="H304:H305"/>
    <mergeCell ref="A302:A303"/>
    <mergeCell ref="B302:B303"/>
    <mergeCell ref="D302:D303"/>
    <mergeCell ref="F302:F303"/>
    <mergeCell ref="G302:G303"/>
    <mergeCell ref="H302:H303"/>
    <mergeCell ref="A300:A301"/>
    <mergeCell ref="B300:B301"/>
    <mergeCell ref="D300:D301"/>
    <mergeCell ref="F300:F301"/>
    <mergeCell ref="G300:G301"/>
    <mergeCell ref="H300:H301"/>
    <mergeCell ref="A298:A299"/>
    <mergeCell ref="B298:B299"/>
    <mergeCell ref="D298:D299"/>
    <mergeCell ref="F298:F299"/>
    <mergeCell ref="G298:G299"/>
    <mergeCell ref="H298:H299"/>
    <mergeCell ref="A296:A297"/>
    <mergeCell ref="B296:B297"/>
    <mergeCell ref="D296:D297"/>
    <mergeCell ref="F296:F297"/>
    <mergeCell ref="G296:G297"/>
    <mergeCell ref="H296:H297"/>
    <mergeCell ref="A294:A295"/>
    <mergeCell ref="B294:B295"/>
    <mergeCell ref="D294:D295"/>
    <mergeCell ref="F294:F295"/>
    <mergeCell ref="G294:G295"/>
    <mergeCell ref="H294:H295"/>
    <mergeCell ref="A292:A293"/>
    <mergeCell ref="B292:B293"/>
    <mergeCell ref="D292:D293"/>
    <mergeCell ref="F292:F293"/>
    <mergeCell ref="G292:G293"/>
    <mergeCell ref="H292:H293"/>
    <mergeCell ref="A290:A291"/>
    <mergeCell ref="B290:B291"/>
    <mergeCell ref="D290:D291"/>
    <mergeCell ref="F290:F291"/>
    <mergeCell ref="G290:G291"/>
    <mergeCell ref="H290:H291"/>
    <mergeCell ref="A288:A289"/>
    <mergeCell ref="B288:B289"/>
    <mergeCell ref="D288:D289"/>
    <mergeCell ref="F288:F289"/>
    <mergeCell ref="G288:G289"/>
    <mergeCell ref="H288:H289"/>
    <mergeCell ref="A286:A287"/>
    <mergeCell ref="B286:B287"/>
    <mergeCell ref="D286:D287"/>
    <mergeCell ref="F286:F287"/>
    <mergeCell ref="G286:G287"/>
    <mergeCell ref="H286:H287"/>
    <mergeCell ref="A284:A285"/>
    <mergeCell ref="B284:B285"/>
    <mergeCell ref="D284:D285"/>
    <mergeCell ref="F284:F285"/>
    <mergeCell ref="G284:G285"/>
    <mergeCell ref="H284:H285"/>
    <mergeCell ref="A282:A283"/>
    <mergeCell ref="B282:B283"/>
    <mergeCell ref="D282:D283"/>
    <mergeCell ref="F282:F283"/>
    <mergeCell ref="G282:G283"/>
    <mergeCell ref="H282:H283"/>
    <mergeCell ref="A280:A281"/>
    <mergeCell ref="B280:B281"/>
    <mergeCell ref="D280:D281"/>
    <mergeCell ref="F280:F281"/>
    <mergeCell ref="G280:G281"/>
    <mergeCell ref="H280:H281"/>
    <mergeCell ref="A278:A279"/>
    <mergeCell ref="B278:B279"/>
    <mergeCell ref="D278:D279"/>
    <mergeCell ref="F278:F279"/>
    <mergeCell ref="G278:G279"/>
    <mergeCell ref="H278:H279"/>
    <mergeCell ref="A276:A277"/>
    <mergeCell ref="B276:B277"/>
    <mergeCell ref="D276:D277"/>
    <mergeCell ref="F276:F277"/>
    <mergeCell ref="G276:G277"/>
    <mergeCell ref="H276:H277"/>
    <mergeCell ref="A273:H273"/>
    <mergeCell ref="A274:A275"/>
    <mergeCell ref="B274:B275"/>
    <mergeCell ref="D274:D275"/>
    <mergeCell ref="F274:F275"/>
    <mergeCell ref="G274:G275"/>
    <mergeCell ref="H274:H275"/>
    <mergeCell ref="A270:A271"/>
    <mergeCell ref="B270:B271"/>
    <mergeCell ref="D270:D271"/>
    <mergeCell ref="F270:F271"/>
    <mergeCell ref="G270:G271"/>
    <mergeCell ref="H270:H271"/>
    <mergeCell ref="A268:A269"/>
    <mergeCell ref="B268:B269"/>
    <mergeCell ref="D268:D269"/>
    <mergeCell ref="F268:F269"/>
    <mergeCell ref="G268:G269"/>
    <mergeCell ref="H268:H269"/>
    <mergeCell ref="A266:A267"/>
    <mergeCell ref="B266:B267"/>
    <mergeCell ref="D266:D267"/>
    <mergeCell ref="F266:F267"/>
    <mergeCell ref="G266:G267"/>
    <mergeCell ref="H266:H267"/>
    <mergeCell ref="A264:A265"/>
    <mergeCell ref="B264:B265"/>
    <mergeCell ref="D264:D265"/>
    <mergeCell ref="F264:F265"/>
    <mergeCell ref="G264:G265"/>
    <mergeCell ref="H264:H265"/>
    <mergeCell ref="A262:A263"/>
    <mergeCell ref="B262:B263"/>
    <mergeCell ref="D262:D263"/>
    <mergeCell ref="F262:F263"/>
    <mergeCell ref="G262:G263"/>
    <mergeCell ref="H262:H263"/>
    <mergeCell ref="A260:A261"/>
    <mergeCell ref="B260:B261"/>
    <mergeCell ref="D260:D261"/>
    <mergeCell ref="F260:F261"/>
    <mergeCell ref="G260:G261"/>
    <mergeCell ref="H260:H261"/>
    <mergeCell ref="A258:A259"/>
    <mergeCell ref="B258:B259"/>
    <mergeCell ref="D258:D259"/>
    <mergeCell ref="F258:F259"/>
    <mergeCell ref="G258:G259"/>
    <mergeCell ref="H258:H259"/>
    <mergeCell ref="A256:A257"/>
    <mergeCell ref="B256:B257"/>
    <mergeCell ref="D256:D257"/>
    <mergeCell ref="F256:F257"/>
    <mergeCell ref="G256:G257"/>
    <mergeCell ref="H256:H257"/>
    <mergeCell ref="A254:A255"/>
    <mergeCell ref="B254:B255"/>
    <mergeCell ref="D254:D255"/>
    <mergeCell ref="F254:F255"/>
    <mergeCell ref="G254:G255"/>
    <mergeCell ref="H254:H255"/>
    <mergeCell ref="A252:A253"/>
    <mergeCell ref="B252:B253"/>
    <mergeCell ref="D252:D253"/>
    <mergeCell ref="F252:F253"/>
    <mergeCell ref="G252:G253"/>
    <mergeCell ref="H252:H253"/>
    <mergeCell ref="A250:A251"/>
    <mergeCell ref="B250:B251"/>
    <mergeCell ref="D250:D251"/>
    <mergeCell ref="F250:F251"/>
    <mergeCell ref="G250:G251"/>
    <mergeCell ref="H250:H251"/>
    <mergeCell ref="A248:A249"/>
    <mergeCell ref="B248:B249"/>
    <mergeCell ref="D248:D249"/>
    <mergeCell ref="F248:F249"/>
    <mergeCell ref="G248:G249"/>
    <mergeCell ref="H248:H249"/>
    <mergeCell ref="A246:A247"/>
    <mergeCell ref="B246:B247"/>
    <mergeCell ref="D246:D247"/>
    <mergeCell ref="F246:F247"/>
    <mergeCell ref="G246:G247"/>
    <mergeCell ref="H246:H247"/>
    <mergeCell ref="A244:A245"/>
    <mergeCell ref="B244:B245"/>
    <mergeCell ref="D244:D245"/>
    <mergeCell ref="F244:F245"/>
    <mergeCell ref="G244:G245"/>
    <mergeCell ref="H244:H245"/>
    <mergeCell ref="A242:A243"/>
    <mergeCell ref="B242:B243"/>
    <mergeCell ref="D242:D243"/>
    <mergeCell ref="F242:F243"/>
    <mergeCell ref="G242:G243"/>
    <mergeCell ref="H242:H243"/>
    <mergeCell ref="A239:H239"/>
    <mergeCell ref="A240:A241"/>
    <mergeCell ref="B240:B241"/>
    <mergeCell ref="D240:D241"/>
    <mergeCell ref="F240:F241"/>
    <mergeCell ref="G240:G241"/>
    <mergeCell ref="H240:H241"/>
    <mergeCell ref="A236:A237"/>
    <mergeCell ref="B236:B237"/>
    <mergeCell ref="D236:D237"/>
    <mergeCell ref="F236:F237"/>
    <mergeCell ref="G236:G237"/>
    <mergeCell ref="H236:H237"/>
    <mergeCell ref="A234:A235"/>
    <mergeCell ref="B234:B235"/>
    <mergeCell ref="D234:D235"/>
    <mergeCell ref="F234:F235"/>
    <mergeCell ref="G234:G235"/>
    <mergeCell ref="H234:H235"/>
    <mergeCell ref="A232:A233"/>
    <mergeCell ref="B232:B233"/>
    <mergeCell ref="D232:D233"/>
    <mergeCell ref="F232:F233"/>
    <mergeCell ref="G232:G233"/>
    <mergeCell ref="H232:H233"/>
    <mergeCell ref="A230:A231"/>
    <mergeCell ref="B230:B231"/>
    <mergeCell ref="D230:D231"/>
    <mergeCell ref="F230:F231"/>
    <mergeCell ref="G230:G231"/>
    <mergeCell ref="H230:H231"/>
    <mergeCell ref="A228:A229"/>
    <mergeCell ref="B228:B229"/>
    <mergeCell ref="D228:D229"/>
    <mergeCell ref="F228:F229"/>
    <mergeCell ref="G228:G229"/>
    <mergeCell ref="H228:H229"/>
    <mergeCell ref="A226:A227"/>
    <mergeCell ref="B226:B227"/>
    <mergeCell ref="D226:D227"/>
    <mergeCell ref="F226:F227"/>
    <mergeCell ref="G226:G227"/>
    <mergeCell ref="H226:H227"/>
    <mergeCell ref="A224:A225"/>
    <mergeCell ref="B224:B225"/>
    <mergeCell ref="D224:D225"/>
    <mergeCell ref="F224:F225"/>
    <mergeCell ref="G224:G225"/>
    <mergeCell ref="H224:H225"/>
    <mergeCell ref="A222:A223"/>
    <mergeCell ref="B222:B223"/>
    <mergeCell ref="D222:D223"/>
    <mergeCell ref="F222:F223"/>
    <mergeCell ref="G222:G223"/>
    <mergeCell ref="H222:H223"/>
    <mergeCell ref="A220:A221"/>
    <mergeCell ref="B220:B221"/>
    <mergeCell ref="D220:D221"/>
    <mergeCell ref="F220:F221"/>
    <mergeCell ref="G220:G221"/>
    <mergeCell ref="H220:H221"/>
    <mergeCell ref="A218:A219"/>
    <mergeCell ref="B218:B219"/>
    <mergeCell ref="D218:D219"/>
    <mergeCell ref="F218:F219"/>
    <mergeCell ref="G218:G219"/>
    <mergeCell ref="H218:H219"/>
    <mergeCell ref="A216:A217"/>
    <mergeCell ref="B216:B217"/>
    <mergeCell ref="D216:D217"/>
    <mergeCell ref="F216:F217"/>
    <mergeCell ref="G216:G217"/>
    <mergeCell ref="H216:H217"/>
    <mergeCell ref="A214:A215"/>
    <mergeCell ref="B214:B215"/>
    <mergeCell ref="D214:D215"/>
    <mergeCell ref="F214:F215"/>
    <mergeCell ref="G214:G215"/>
    <mergeCell ref="H214:H215"/>
    <mergeCell ref="A212:A213"/>
    <mergeCell ref="B212:B213"/>
    <mergeCell ref="D212:D213"/>
    <mergeCell ref="F212:F213"/>
    <mergeCell ref="G212:G213"/>
    <mergeCell ref="H212:H213"/>
    <mergeCell ref="A210:A211"/>
    <mergeCell ref="B210:B211"/>
    <mergeCell ref="D210:D211"/>
    <mergeCell ref="F210:F211"/>
    <mergeCell ref="G210:G211"/>
    <mergeCell ref="H210:H211"/>
    <mergeCell ref="A208:A209"/>
    <mergeCell ref="B208:B209"/>
    <mergeCell ref="D208:D209"/>
    <mergeCell ref="F208:F209"/>
    <mergeCell ref="G208:G209"/>
    <mergeCell ref="H208:H209"/>
    <mergeCell ref="A205:H205"/>
    <mergeCell ref="A206:A207"/>
    <mergeCell ref="B206:B207"/>
    <mergeCell ref="D206:D207"/>
    <mergeCell ref="F206:F207"/>
    <mergeCell ref="G206:G207"/>
    <mergeCell ref="H206:H207"/>
    <mergeCell ref="A202:A203"/>
    <mergeCell ref="B202:B203"/>
    <mergeCell ref="D202:D203"/>
    <mergeCell ref="F202:F203"/>
    <mergeCell ref="G202:G203"/>
    <mergeCell ref="H202:H203"/>
    <mergeCell ref="A200:A201"/>
    <mergeCell ref="B200:B201"/>
    <mergeCell ref="D200:D201"/>
    <mergeCell ref="F200:F201"/>
    <mergeCell ref="G200:G201"/>
    <mergeCell ref="H200:H201"/>
    <mergeCell ref="A198:A199"/>
    <mergeCell ref="B198:B199"/>
    <mergeCell ref="D198:D199"/>
    <mergeCell ref="F198:F199"/>
    <mergeCell ref="G198:G199"/>
    <mergeCell ref="H198:H199"/>
    <mergeCell ref="A196:A197"/>
    <mergeCell ref="B196:B197"/>
    <mergeCell ref="D196:D197"/>
    <mergeCell ref="F196:F197"/>
    <mergeCell ref="G196:G197"/>
    <mergeCell ref="H196:H197"/>
    <mergeCell ref="A194:A195"/>
    <mergeCell ref="B194:B195"/>
    <mergeCell ref="D194:D195"/>
    <mergeCell ref="F194:F195"/>
    <mergeCell ref="G194:G195"/>
    <mergeCell ref="H194:H195"/>
    <mergeCell ref="A192:A193"/>
    <mergeCell ref="B192:B193"/>
    <mergeCell ref="D192:D193"/>
    <mergeCell ref="F192:F193"/>
    <mergeCell ref="G192:G193"/>
    <mergeCell ref="H192:H193"/>
    <mergeCell ref="A190:A191"/>
    <mergeCell ref="B190:B191"/>
    <mergeCell ref="D190:D191"/>
    <mergeCell ref="F190:F191"/>
    <mergeCell ref="G190:G191"/>
    <mergeCell ref="H190:H191"/>
    <mergeCell ref="A188:A189"/>
    <mergeCell ref="B188:B189"/>
    <mergeCell ref="D188:D189"/>
    <mergeCell ref="F188:F189"/>
    <mergeCell ref="G188:G189"/>
    <mergeCell ref="H188:H189"/>
    <mergeCell ref="A186:A187"/>
    <mergeCell ref="B186:B187"/>
    <mergeCell ref="D186:D187"/>
    <mergeCell ref="F186:F187"/>
    <mergeCell ref="G186:G187"/>
    <mergeCell ref="H186:H187"/>
    <mergeCell ref="A184:A185"/>
    <mergeCell ref="B184:B185"/>
    <mergeCell ref="D184:D185"/>
    <mergeCell ref="F184:F185"/>
    <mergeCell ref="G184:G185"/>
    <mergeCell ref="H184:H185"/>
    <mergeCell ref="A182:A183"/>
    <mergeCell ref="B182:B183"/>
    <mergeCell ref="D182:D183"/>
    <mergeCell ref="F182:F183"/>
    <mergeCell ref="G182:G183"/>
    <mergeCell ref="H182:H183"/>
    <mergeCell ref="A180:A181"/>
    <mergeCell ref="B180:B181"/>
    <mergeCell ref="D180:D181"/>
    <mergeCell ref="F180:F181"/>
    <mergeCell ref="G180:G181"/>
    <mergeCell ref="H180:H181"/>
    <mergeCell ref="A178:A179"/>
    <mergeCell ref="B178:B179"/>
    <mergeCell ref="D178:D179"/>
    <mergeCell ref="F178:F179"/>
    <mergeCell ref="G178:G179"/>
    <mergeCell ref="H178:H179"/>
    <mergeCell ref="A176:A177"/>
    <mergeCell ref="B176:B177"/>
    <mergeCell ref="D176:D177"/>
    <mergeCell ref="F176:F177"/>
    <mergeCell ref="G176:G177"/>
    <mergeCell ref="H176:H177"/>
    <mergeCell ref="A174:A175"/>
    <mergeCell ref="B174:B175"/>
    <mergeCell ref="D174:D175"/>
    <mergeCell ref="F174:F175"/>
    <mergeCell ref="G174:G175"/>
    <mergeCell ref="H174:H175"/>
    <mergeCell ref="A171:H171"/>
    <mergeCell ref="A172:A173"/>
    <mergeCell ref="B172:B173"/>
    <mergeCell ref="D172:D173"/>
    <mergeCell ref="F172:F173"/>
    <mergeCell ref="G172:G173"/>
    <mergeCell ref="H172:H173"/>
    <mergeCell ref="A168:A169"/>
    <mergeCell ref="B168:B169"/>
    <mergeCell ref="D168:D169"/>
    <mergeCell ref="F168:F169"/>
    <mergeCell ref="G168:G169"/>
    <mergeCell ref="H168:H169"/>
    <mergeCell ref="A166:A167"/>
    <mergeCell ref="B166:B167"/>
    <mergeCell ref="D166:D167"/>
    <mergeCell ref="F166:F167"/>
    <mergeCell ref="G166:G167"/>
    <mergeCell ref="H166:H167"/>
    <mergeCell ref="A164:A165"/>
    <mergeCell ref="B164:B165"/>
    <mergeCell ref="D164:D165"/>
    <mergeCell ref="F164:F165"/>
    <mergeCell ref="G164:G165"/>
    <mergeCell ref="H164:H165"/>
    <mergeCell ref="A162:A163"/>
    <mergeCell ref="B162:B163"/>
    <mergeCell ref="D162:D163"/>
    <mergeCell ref="F162:F163"/>
    <mergeCell ref="G162:G163"/>
    <mergeCell ref="H162:H163"/>
    <mergeCell ref="A160:A161"/>
    <mergeCell ref="B160:B161"/>
    <mergeCell ref="D160:D161"/>
    <mergeCell ref="F160:F161"/>
    <mergeCell ref="G160:G161"/>
    <mergeCell ref="H160:H161"/>
    <mergeCell ref="A158:A159"/>
    <mergeCell ref="B158:B159"/>
    <mergeCell ref="D158:D159"/>
    <mergeCell ref="F158:F159"/>
    <mergeCell ref="G158:G159"/>
    <mergeCell ref="H158:H159"/>
    <mergeCell ref="A156:A157"/>
    <mergeCell ref="B156:B157"/>
    <mergeCell ref="D156:D157"/>
    <mergeCell ref="F156:F157"/>
    <mergeCell ref="G156:G157"/>
    <mergeCell ref="H156:H157"/>
    <mergeCell ref="A154:A155"/>
    <mergeCell ref="B154:B155"/>
    <mergeCell ref="D154:D155"/>
    <mergeCell ref="F154:F155"/>
    <mergeCell ref="G154:G155"/>
    <mergeCell ref="H154:H155"/>
    <mergeCell ref="A152:A153"/>
    <mergeCell ref="B152:B153"/>
    <mergeCell ref="D152:D153"/>
    <mergeCell ref="F152:F153"/>
    <mergeCell ref="G152:G153"/>
    <mergeCell ref="H152:H153"/>
    <mergeCell ref="A150:A151"/>
    <mergeCell ref="B150:B151"/>
    <mergeCell ref="D150:D151"/>
    <mergeCell ref="F150:F151"/>
    <mergeCell ref="G150:G151"/>
    <mergeCell ref="H150:H151"/>
    <mergeCell ref="A148:A149"/>
    <mergeCell ref="B148:B149"/>
    <mergeCell ref="D148:D149"/>
    <mergeCell ref="F148:F149"/>
    <mergeCell ref="G148:G149"/>
    <mergeCell ref="H148:H149"/>
    <mergeCell ref="A146:A147"/>
    <mergeCell ref="B146:B147"/>
    <mergeCell ref="D146:D147"/>
    <mergeCell ref="F146:F147"/>
    <mergeCell ref="G146:G147"/>
    <mergeCell ref="H146:H147"/>
    <mergeCell ref="A144:A145"/>
    <mergeCell ref="B144:B145"/>
    <mergeCell ref="D144:D145"/>
    <mergeCell ref="F144:F145"/>
    <mergeCell ref="G144:G145"/>
    <mergeCell ref="H144:H145"/>
    <mergeCell ref="A142:A143"/>
    <mergeCell ref="B142:B143"/>
    <mergeCell ref="D142:D143"/>
    <mergeCell ref="F142:F143"/>
    <mergeCell ref="G142:G143"/>
    <mergeCell ref="H142:H143"/>
    <mergeCell ref="A140:A141"/>
    <mergeCell ref="B140:B141"/>
    <mergeCell ref="D140:D141"/>
    <mergeCell ref="F140:F141"/>
    <mergeCell ref="G140:G141"/>
    <mergeCell ref="H140:H141"/>
    <mergeCell ref="A137:H137"/>
    <mergeCell ref="A138:A139"/>
    <mergeCell ref="B138:B139"/>
    <mergeCell ref="D138:D139"/>
    <mergeCell ref="F138:F139"/>
    <mergeCell ref="G138:G139"/>
    <mergeCell ref="H138:H139"/>
    <mergeCell ref="A134:A135"/>
    <mergeCell ref="B134:B135"/>
    <mergeCell ref="D134:D135"/>
    <mergeCell ref="F134:F135"/>
    <mergeCell ref="G134:G135"/>
    <mergeCell ref="H134:H135"/>
    <mergeCell ref="A132:A133"/>
    <mergeCell ref="B132:B133"/>
    <mergeCell ref="D132:D133"/>
    <mergeCell ref="F132:F133"/>
    <mergeCell ref="G132:G133"/>
    <mergeCell ref="H132:H133"/>
    <mergeCell ref="A130:A131"/>
    <mergeCell ref="B130:B131"/>
    <mergeCell ref="D130:D131"/>
    <mergeCell ref="F130:F131"/>
    <mergeCell ref="G130:G131"/>
    <mergeCell ref="H130:H131"/>
    <mergeCell ref="A128:A129"/>
    <mergeCell ref="B128:B129"/>
    <mergeCell ref="D128:D129"/>
    <mergeCell ref="F128:F129"/>
    <mergeCell ref="G128:G129"/>
    <mergeCell ref="H128:H129"/>
    <mergeCell ref="A126:A127"/>
    <mergeCell ref="B126:B127"/>
    <mergeCell ref="D126:D127"/>
    <mergeCell ref="F126:F127"/>
    <mergeCell ref="G126:G127"/>
    <mergeCell ref="H126:H127"/>
    <mergeCell ref="A124:A125"/>
    <mergeCell ref="B124:B125"/>
    <mergeCell ref="D124:D125"/>
    <mergeCell ref="F124:F125"/>
    <mergeCell ref="G124:G125"/>
    <mergeCell ref="H124:H125"/>
    <mergeCell ref="A122:A123"/>
    <mergeCell ref="B122:B123"/>
    <mergeCell ref="D122:D123"/>
    <mergeCell ref="F122:F123"/>
    <mergeCell ref="G122:G123"/>
    <mergeCell ref="H122:H123"/>
    <mergeCell ref="A120:A121"/>
    <mergeCell ref="B120:B121"/>
    <mergeCell ref="D120:D121"/>
    <mergeCell ref="F120:F121"/>
    <mergeCell ref="G120:G121"/>
    <mergeCell ref="H120:H121"/>
    <mergeCell ref="A118:A119"/>
    <mergeCell ref="B118:B119"/>
    <mergeCell ref="D118:D119"/>
    <mergeCell ref="F118:F119"/>
    <mergeCell ref="G118:G119"/>
    <mergeCell ref="H118:H119"/>
    <mergeCell ref="A116:A117"/>
    <mergeCell ref="B116:B117"/>
    <mergeCell ref="D116:D117"/>
    <mergeCell ref="F116:F117"/>
    <mergeCell ref="G116:G117"/>
    <mergeCell ref="H116:H117"/>
    <mergeCell ref="A114:A115"/>
    <mergeCell ref="B114:B115"/>
    <mergeCell ref="D114:D115"/>
    <mergeCell ref="F114:F115"/>
    <mergeCell ref="G114:G115"/>
    <mergeCell ref="H114:H115"/>
    <mergeCell ref="A112:A113"/>
    <mergeCell ref="B112:B113"/>
    <mergeCell ref="D112:D113"/>
    <mergeCell ref="F112:F113"/>
    <mergeCell ref="G112:G113"/>
    <mergeCell ref="H112:H113"/>
    <mergeCell ref="A110:A111"/>
    <mergeCell ref="B110:B111"/>
    <mergeCell ref="D110:D111"/>
    <mergeCell ref="F110:F111"/>
    <mergeCell ref="G110:G111"/>
    <mergeCell ref="H110:H111"/>
    <mergeCell ref="A108:A109"/>
    <mergeCell ref="B108:B109"/>
    <mergeCell ref="D108:D109"/>
    <mergeCell ref="F108:F109"/>
    <mergeCell ref="G108:G109"/>
    <mergeCell ref="H108:H109"/>
    <mergeCell ref="A106:A107"/>
    <mergeCell ref="B106:B107"/>
    <mergeCell ref="D106:D107"/>
    <mergeCell ref="F106:F107"/>
    <mergeCell ref="G106:G107"/>
    <mergeCell ref="H106:H107"/>
    <mergeCell ref="A103:H103"/>
    <mergeCell ref="A104:A105"/>
    <mergeCell ref="B104:B105"/>
    <mergeCell ref="D104:D105"/>
    <mergeCell ref="F104:F105"/>
    <mergeCell ref="G104:G105"/>
    <mergeCell ref="H104:H105"/>
    <mergeCell ref="A100:A101"/>
    <mergeCell ref="B100:B101"/>
    <mergeCell ref="D100:D101"/>
    <mergeCell ref="F100:F101"/>
    <mergeCell ref="G100:G101"/>
    <mergeCell ref="H100:H101"/>
    <mergeCell ref="A98:A99"/>
    <mergeCell ref="B98:B99"/>
    <mergeCell ref="D98:D99"/>
    <mergeCell ref="F98:F99"/>
    <mergeCell ref="G98:G99"/>
    <mergeCell ref="H98:H99"/>
    <mergeCell ref="A96:A97"/>
    <mergeCell ref="B96:B97"/>
    <mergeCell ref="D96:D97"/>
    <mergeCell ref="F96:F97"/>
    <mergeCell ref="G96:G97"/>
    <mergeCell ref="H96:H97"/>
    <mergeCell ref="A94:A95"/>
    <mergeCell ref="B94:B95"/>
    <mergeCell ref="D94:D95"/>
    <mergeCell ref="F94:F95"/>
    <mergeCell ref="G94:G95"/>
    <mergeCell ref="H94:H95"/>
    <mergeCell ref="A92:A93"/>
    <mergeCell ref="B92:B93"/>
    <mergeCell ref="D92:D93"/>
    <mergeCell ref="F92:F93"/>
    <mergeCell ref="G92:G93"/>
    <mergeCell ref="H92:H93"/>
    <mergeCell ref="A90:A91"/>
    <mergeCell ref="B90:B91"/>
    <mergeCell ref="D90:D91"/>
    <mergeCell ref="F90:F91"/>
    <mergeCell ref="G90:G91"/>
    <mergeCell ref="H90:H91"/>
    <mergeCell ref="A88:A89"/>
    <mergeCell ref="B88:B89"/>
    <mergeCell ref="D88:D89"/>
    <mergeCell ref="F88:F89"/>
    <mergeCell ref="G88:G89"/>
    <mergeCell ref="H88:H89"/>
    <mergeCell ref="A86:A87"/>
    <mergeCell ref="B86:B87"/>
    <mergeCell ref="D86:D87"/>
    <mergeCell ref="F86:F87"/>
    <mergeCell ref="G86:G87"/>
    <mergeCell ref="H86:H87"/>
    <mergeCell ref="A84:A85"/>
    <mergeCell ref="B84:B85"/>
    <mergeCell ref="D84:D85"/>
    <mergeCell ref="F84:F85"/>
    <mergeCell ref="G84:G85"/>
    <mergeCell ref="H84:H85"/>
    <mergeCell ref="A82:A83"/>
    <mergeCell ref="B82:B83"/>
    <mergeCell ref="D82:D83"/>
    <mergeCell ref="F82:F83"/>
    <mergeCell ref="G82:G83"/>
    <mergeCell ref="H82:H83"/>
    <mergeCell ref="A80:A81"/>
    <mergeCell ref="B80:B81"/>
    <mergeCell ref="D80:D81"/>
    <mergeCell ref="F80:F81"/>
    <mergeCell ref="G80:G81"/>
    <mergeCell ref="H80:H81"/>
    <mergeCell ref="A78:A79"/>
    <mergeCell ref="B78:B79"/>
    <mergeCell ref="D78:D79"/>
    <mergeCell ref="F78:F79"/>
    <mergeCell ref="G78:G79"/>
    <mergeCell ref="H78:H79"/>
    <mergeCell ref="A76:A77"/>
    <mergeCell ref="B76:B77"/>
    <mergeCell ref="D76:D77"/>
    <mergeCell ref="F76:F77"/>
    <mergeCell ref="G76:G77"/>
    <mergeCell ref="H76:H77"/>
    <mergeCell ref="A74:A75"/>
    <mergeCell ref="B74:B75"/>
    <mergeCell ref="D74:D75"/>
    <mergeCell ref="F74:F75"/>
    <mergeCell ref="G74:G75"/>
    <mergeCell ref="H74:H75"/>
    <mergeCell ref="A72:A73"/>
    <mergeCell ref="B72:B73"/>
    <mergeCell ref="D72:D73"/>
    <mergeCell ref="F72:F73"/>
    <mergeCell ref="G72:G73"/>
    <mergeCell ref="H72:H73"/>
    <mergeCell ref="A69:H69"/>
    <mergeCell ref="A70:A71"/>
    <mergeCell ref="B70:B71"/>
    <mergeCell ref="D70:D71"/>
    <mergeCell ref="F70:F71"/>
    <mergeCell ref="G70:G71"/>
    <mergeCell ref="H70:H71"/>
    <mergeCell ref="A66:A67"/>
    <mergeCell ref="B66:B67"/>
    <mergeCell ref="D66:D67"/>
    <mergeCell ref="F66:F67"/>
    <mergeCell ref="G66:G67"/>
    <mergeCell ref="H66:H67"/>
    <mergeCell ref="A64:A65"/>
    <mergeCell ref="B64:B65"/>
    <mergeCell ref="D64:D65"/>
    <mergeCell ref="F64:F65"/>
    <mergeCell ref="G64:G65"/>
    <mergeCell ref="H64:H65"/>
    <mergeCell ref="A62:A63"/>
    <mergeCell ref="B62:B63"/>
    <mergeCell ref="D62:D63"/>
    <mergeCell ref="F62:F63"/>
    <mergeCell ref="G62:G63"/>
    <mergeCell ref="H62:H63"/>
    <mergeCell ref="A60:A61"/>
    <mergeCell ref="B60:B61"/>
    <mergeCell ref="D60:D61"/>
    <mergeCell ref="F60:F61"/>
    <mergeCell ref="G60:G61"/>
    <mergeCell ref="H60:H61"/>
    <mergeCell ref="A58:A59"/>
    <mergeCell ref="B58:B59"/>
    <mergeCell ref="D58:D59"/>
    <mergeCell ref="F58:F59"/>
    <mergeCell ref="G58:G59"/>
    <mergeCell ref="H58:H59"/>
    <mergeCell ref="A56:A57"/>
    <mergeCell ref="B56:B57"/>
    <mergeCell ref="D56:D57"/>
    <mergeCell ref="F56:F57"/>
    <mergeCell ref="G56:G57"/>
    <mergeCell ref="H56:H57"/>
    <mergeCell ref="A54:A55"/>
    <mergeCell ref="B54:B55"/>
    <mergeCell ref="D54:D55"/>
    <mergeCell ref="F54:F55"/>
    <mergeCell ref="G54:G55"/>
    <mergeCell ref="H54:H55"/>
    <mergeCell ref="A52:A53"/>
    <mergeCell ref="B52:B53"/>
    <mergeCell ref="D52:D53"/>
    <mergeCell ref="F52:F53"/>
    <mergeCell ref="G52:G53"/>
    <mergeCell ref="H52:H53"/>
    <mergeCell ref="A50:A51"/>
    <mergeCell ref="B50:B51"/>
    <mergeCell ref="D50:D51"/>
    <mergeCell ref="F50:F51"/>
    <mergeCell ref="G50:G51"/>
    <mergeCell ref="H50:H51"/>
    <mergeCell ref="A48:A49"/>
    <mergeCell ref="B48:B49"/>
    <mergeCell ref="D48:D49"/>
    <mergeCell ref="F48:F49"/>
    <mergeCell ref="G48:G49"/>
    <mergeCell ref="H48:H49"/>
    <mergeCell ref="A46:A47"/>
    <mergeCell ref="B46:B47"/>
    <mergeCell ref="D46:D47"/>
    <mergeCell ref="F46:F47"/>
    <mergeCell ref="G46:G47"/>
    <mergeCell ref="H46:H47"/>
    <mergeCell ref="A44:A45"/>
    <mergeCell ref="B44:B45"/>
    <mergeCell ref="D44:D45"/>
    <mergeCell ref="F44:F45"/>
    <mergeCell ref="G44:G45"/>
    <mergeCell ref="H44:H45"/>
    <mergeCell ref="A42:A43"/>
    <mergeCell ref="B42:B43"/>
    <mergeCell ref="D42:D43"/>
    <mergeCell ref="F42:F43"/>
    <mergeCell ref="G42:G43"/>
    <mergeCell ref="H42:H43"/>
    <mergeCell ref="A40:A41"/>
    <mergeCell ref="B40:B41"/>
    <mergeCell ref="D40:D41"/>
    <mergeCell ref="F40:F41"/>
    <mergeCell ref="G40:G41"/>
    <mergeCell ref="H40:H41"/>
    <mergeCell ref="H36:H37"/>
    <mergeCell ref="L37:M37"/>
    <mergeCell ref="A38:A39"/>
    <mergeCell ref="B38:B39"/>
    <mergeCell ref="D38:D39"/>
    <mergeCell ref="F38:F39"/>
    <mergeCell ref="G38:G39"/>
    <mergeCell ref="H38:H39"/>
    <mergeCell ref="N33:N34"/>
    <mergeCell ref="O33:O34"/>
    <mergeCell ref="P33:P34"/>
    <mergeCell ref="Q33:Q34"/>
    <mergeCell ref="A35:H35"/>
    <mergeCell ref="A36:A37"/>
    <mergeCell ref="B36:B37"/>
    <mergeCell ref="D36:D37"/>
    <mergeCell ref="F36:F37"/>
    <mergeCell ref="G36:G37"/>
    <mergeCell ref="J30:K30"/>
    <mergeCell ref="J31:K31"/>
    <mergeCell ref="A32:A33"/>
    <mergeCell ref="B32:B33"/>
    <mergeCell ref="D32:D33"/>
    <mergeCell ref="F32:F33"/>
    <mergeCell ref="G32:G33"/>
    <mergeCell ref="H32:H33"/>
    <mergeCell ref="J32:K32"/>
    <mergeCell ref="A30:A31"/>
    <mergeCell ref="B30:B31"/>
    <mergeCell ref="D30:D31"/>
    <mergeCell ref="F30:F31"/>
    <mergeCell ref="G30:G31"/>
    <mergeCell ref="H30:H31"/>
    <mergeCell ref="J26:K26"/>
    <mergeCell ref="J27:K27"/>
    <mergeCell ref="A28:A29"/>
    <mergeCell ref="B28:B29"/>
    <mergeCell ref="D28:D29"/>
    <mergeCell ref="F28:F29"/>
    <mergeCell ref="G28:G29"/>
    <mergeCell ref="H28:H29"/>
    <mergeCell ref="J28:K28"/>
    <mergeCell ref="J29:K29"/>
    <mergeCell ref="A26:A27"/>
    <mergeCell ref="B26:B27"/>
    <mergeCell ref="D26:D27"/>
    <mergeCell ref="F26:F27"/>
    <mergeCell ref="G26:G27"/>
    <mergeCell ref="H26:H27"/>
    <mergeCell ref="J22:K22"/>
    <mergeCell ref="J23:K23"/>
    <mergeCell ref="A24:A25"/>
    <mergeCell ref="B24:B25"/>
    <mergeCell ref="D24:D25"/>
    <mergeCell ref="F24:F25"/>
    <mergeCell ref="G24:G25"/>
    <mergeCell ref="H24:H25"/>
    <mergeCell ref="J24:K24"/>
    <mergeCell ref="J25:K25"/>
    <mergeCell ref="A22:A23"/>
    <mergeCell ref="B22:B23"/>
    <mergeCell ref="D22:D23"/>
    <mergeCell ref="F22:F23"/>
    <mergeCell ref="G22:G23"/>
    <mergeCell ref="H22:H23"/>
    <mergeCell ref="J18:K18"/>
    <mergeCell ref="J19:K19"/>
    <mergeCell ref="A20:A21"/>
    <mergeCell ref="B20:B21"/>
    <mergeCell ref="D20:D21"/>
    <mergeCell ref="F20:F21"/>
    <mergeCell ref="G20:G21"/>
    <mergeCell ref="H20:H21"/>
    <mergeCell ref="J20:K20"/>
    <mergeCell ref="J21:K21"/>
    <mergeCell ref="A18:A19"/>
    <mergeCell ref="B18:B19"/>
    <mergeCell ref="D18:D19"/>
    <mergeCell ref="F18:F19"/>
    <mergeCell ref="G18:G19"/>
    <mergeCell ref="H18:H19"/>
    <mergeCell ref="J14:K14"/>
    <mergeCell ref="J15:K15"/>
    <mergeCell ref="A16:A17"/>
    <mergeCell ref="B16:B17"/>
    <mergeCell ref="D16:D17"/>
    <mergeCell ref="F16:F17"/>
    <mergeCell ref="G16:G17"/>
    <mergeCell ref="H16:H17"/>
    <mergeCell ref="J16:K16"/>
    <mergeCell ref="J17:K17"/>
    <mergeCell ref="A14:A15"/>
    <mergeCell ref="B14:B15"/>
    <mergeCell ref="D14:D15"/>
    <mergeCell ref="F14:F15"/>
    <mergeCell ref="G14:G15"/>
    <mergeCell ref="H14:H15"/>
    <mergeCell ref="J10:K10"/>
    <mergeCell ref="J11:K11"/>
    <mergeCell ref="A12:A13"/>
    <mergeCell ref="B12:B13"/>
    <mergeCell ref="D12:D13"/>
    <mergeCell ref="F12:F13"/>
    <mergeCell ref="G12:G13"/>
    <mergeCell ref="H12:H13"/>
    <mergeCell ref="J12:K12"/>
    <mergeCell ref="J13:K13"/>
    <mergeCell ref="A10:A11"/>
    <mergeCell ref="B10:B11"/>
    <mergeCell ref="D10:D11"/>
    <mergeCell ref="F10:F11"/>
    <mergeCell ref="G10:G11"/>
    <mergeCell ref="H10:H11"/>
    <mergeCell ref="J6:K6"/>
    <mergeCell ref="J7:K7"/>
    <mergeCell ref="A8:A9"/>
    <mergeCell ref="B8:B9"/>
    <mergeCell ref="D8:D9"/>
    <mergeCell ref="F8:F9"/>
    <mergeCell ref="G8:G9"/>
    <mergeCell ref="H8:H9"/>
    <mergeCell ref="J8:K8"/>
    <mergeCell ref="J9:K9"/>
    <mergeCell ref="A6:A7"/>
    <mergeCell ref="B6:B7"/>
    <mergeCell ref="D6:D7"/>
    <mergeCell ref="F6:F7"/>
    <mergeCell ref="G6:G7"/>
    <mergeCell ref="H6:H7"/>
    <mergeCell ref="J2:K2"/>
    <mergeCell ref="J3:K3"/>
    <mergeCell ref="A4:A5"/>
    <mergeCell ref="B4:B5"/>
    <mergeCell ref="D4:D5"/>
    <mergeCell ref="F4:F5"/>
    <mergeCell ref="G4:G5"/>
    <mergeCell ref="H4:H5"/>
    <mergeCell ref="J4:K4"/>
    <mergeCell ref="J5:K5"/>
    <mergeCell ref="A1:H1"/>
    <mergeCell ref="A2:A3"/>
    <mergeCell ref="B2:B3"/>
    <mergeCell ref="D2:D3"/>
    <mergeCell ref="F2:F3"/>
    <mergeCell ref="G2:G3"/>
    <mergeCell ref="H2:H3"/>
  </mergeCells>
  <conditionalFormatting sqref="J2:K32">
    <cfRule type="expression" dxfId="341" priority="252">
      <formula>WEEKDAY(J2:K32,2)&gt;5</formula>
    </cfRule>
  </conditionalFormatting>
  <conditionalFormatting sqref="A1:H34">
    <cfRule type="expression" dxfId="340" priority="250">
      <formula>WEEKDAY($A$1,2)&gt;5</formula>
    </cfRule>
  </conditionalFormatting>
  <conditionalFormatting sqref="A35:H68">
    <cfRule type="expression" dxfId="339" priority="249">
      <formula>WEEKDAY($A$35,2)&gt;5</formula>
    </cfRule>
  </conditionalFormatting>
  <conditionalFormatting sqref="A69:H102">
    <cfRule type="expression" dxfId="338" priority="248">
      <formula>WEEKDAY($A$69,2)&gt;5</formula>
    </cfRule>
  </conditionalFormatting>
  <conditionalFormatting sqref="A103:H136">
    <cfRule type="expression" dxfId="337" priority="247">
      <formula>WEEKDAY($A$103,2)&gt;5</formula>
    </cfRule>
  </conditionalFormatting>
  <conditionalFormatting sqref="A137:H170">
    <cfRule type="expression" dxfId="336" priority="246">
      <formula>WEEKDAY($A$137,2)&gt;5</formula>
    </cfRule>
  </conditionalFormatting>
  <conditionalFormatting sqref="A171:H204">
    <cfRule type="expression" dxfId="335" priority="245">
      <formula>WEEKDAY($A$171,2)&gt;5</formula>
    </cfRule>
  </conditionalFormatting>
  <conditionalFormatting sqref="A205:H238">
    <cfRule type="expression" dxfId="334" priority="244">
      <formula>WEEKDAY($A$205,2)&gt;5</formula>
    </cfRule>
  </conditionalFormatting>
  <conditionalFormatting sqref="A239:H272">
    <cfRule type="expression" dxfId="333" priority="243">
      <formula>WEEKDAY($A$239,2)&gt;5</formula>
    </cfRule>
  </conditionalFormatting>
  <conditionalFormatting sqref="F284:H287 A273:H283 A284:B288 D288:H288 A289:H306">
    <cfRule type="expression" dxfId="332" priority="242">
      <formula>WEEKDAY($A$273,2)&gt;5</formula>
    </cfRule>
  </conditionalFormatting>
  <conditionalFormatting sqref="A307:H340">
    <cfRule type="expression" dxfId="331" priority="241">
      <formula>WEEKDAY($A$307,2)&gt;5</formula>
    </cfRule>
  </conditionalFormatting>
  <conditionalFormatting sqref="A341:H374">
    <cfRule type="expression" dxfId="330" priority="240">
      <formula>WEEKDAY($A$341,2)&gt;5</formula>
    </cfRule>
  </conditionalFormatting>
  <conditionalFormatting sqref="A375:H408">
    <cfRule type="expression" dxfId="329" priority="239">
      <formula>WEEKDAY($A$375,2)&gt;5</formula>
    </cfRule>
  </conditionalFormatting>
  <conditionalFormatting sqref="A409:H411 A440:F440 A412:B439 A442:H442 A441:B441 D441 F441 H440:H441">
    <cfRule type="expression" dxfId="328" priority="238">
      <formula>WEEKDAY($A$409,2)&gt;5</formula>
    </cfRule>
  </conditionalFormatting>
  <conditionalFormatting sqref="A443:H459 A460:F461 H460:H461 A462:H465 A466:F467 H466:H467 A468:H476">
    <cfRule type="expression" dxfId="327" priority="237">
      <formula>WEEKDAY($A$443,2)&gt;5</formula>
    </cfRule>
  </conditionalFormatting>
  <conditionalFormatting sqref="A477:H485 A488:H491 A486:F487 H486:H487 A494:H495 A492:F493 H492:H493 A496:F497 H496:H497 A498:H510">
    <cfRule type="expression" dxfId="326" priority="236">
      <formula>WEEKDAY($A$477,2)&gt;5</formula>
    </cfRule>
  </conditionalFormatting>
  <conditionalFormatting sqref="A511:H544">
    <cfRule type="expression" dxfId="325" priority="235">
      <formula>WEEKDAY($A$511,2)&gt;5</formula>
    </cfRule>
  </conditionalFormatting>
  <conditionalFormatting sqref="A545:H563 A568:H578 A564:G567">
    <cfRule type="expression" dxfId="324" priority="234">
      <formula>WEEKDAY($A$545,2)&gt;5</formula>
    </cfRule>
  </conditionalFormatting>
  <conditionalFormatting sqref="A579:H612">
    <cfRule type="expression" dxfId="323" priority="233">
      <formula>WEEKDAY($A$579,2)&gt;5</formula>
    </cfRule>
  </conditionalFormatting>
  <conditionalFormatting sqref="A613:H646">
    <cfRule type="expression" dxfId="322" priority="232">
      <formula>WEEKDAY($A$613,2)&gt;5</formula>
    </cfRule>
  </conditionalFormatting>
  <conditionalFormatting sqref="A656:H657 A654:F655 A660:H680 A658:A659 C658:H659 A647:H653">
    <cfRule type="expression" dxfId="321" priority="231">
      <formula>WEEKDAY($A$647,2)&gt;5</formula>
    </cfRule>
  </conditionalFormatting>
  <conditionalFormatting sqref="A681:H691 A692:F693 H692:H693 A700:H700 C696:C703 A694:H696 A704:H714 A703:E703 H703 A702:H702 A701:E701 H701 A698:G698 H697:H699 A699:E699 A697:E697">
    <cfRule type="expression" dxfId="320" priority="230">
      <formula>WEEKDAY($A$681,2)&gt;5</formula>
    </cfRule>
  </conditionalFormatting>
  <conditionalFormatting sqref="A715:H721 A731:F731 A730:D730 F730 A732:B732 D732:H732 A733:H748 A726:H727 E729:E733 E722:E727 C731:C733 C724:C729 A722:F725 H722:H725 A728:A729 H728:H731 C728:F729">
    <cfRule type="expression" dxfId="319" priority="229">
      <formula>WEEKDAY($A$715,2)&gt;5</formula>
    </cfRule>
  </conditionalFormatting>
  <conditionalFormatting sqref="A749:H782">
    <cfRule type="expression" dxfId="318" priority="228">
      <formula>WEEKDAY($A$749,2)&gt;5</formula>
    </cfRule>
  </conditionalFormatting>
  <conditionalFormatting sqref="A783:H816">
    <cfRule type="expression" dxfId="317" priority="227">
      <formula>WEEKDAY($A$783,2)&gt;5</formula>
    </cfRule>
  </conditionalFormatting>
  <conditionalFormatting sqref="A817:H850">
    <cfRule type="expression" dxfId="316" priority="226">
      <formula>WEEKDAY($A$817,2)&gt;5</formula>
    </cfRule>
  </conditionalFormatting>
  <conditionalFormatting sqref="A851:H884">
    <cfRule type="expression" dxfId="315" priority="225">
      <formula>WEEKDAY($A$851,2)&gt;5</formula>
    </cfRule>
  </conditionalFormatting>
  <conditionalFormatting sqref="A885:H918">
    <cfRule type="expression" dxfId="314" priority="224">
      <formula>WEEKDAY($A$885,2)&gt;5</formula>
    </cfRule>
  </conditionalFormatting>
  <conditionalFormatting sqref="A919:H924 A926:H926 A925:D925 F925:H925 A927:B927 D927:H927 A928:H952">
    <cfRule type="expression" dxfId="313" priority="223">
      <formula>WEEKDAY($A$919,2)&gt;5</formula>
    </cfRule>
  </conditionalFormatting>
  <conditionalFormatting sqref="A953:H986">
    <cfRule type="expression" dxfId="312" priority="189">
      <formula>WEEKDAY($A$953,2)&gt;5</formula>
    </cfRule>
    <cfRule type="expression" dxfId="311" priority="192">
      <formula>NOT(MONTH($A$953)=DAY($J$1))</formula>
    </cfRule>
  </conditionalFormatting>
  <conditionalFormatting sqref="A987:H1020">
    <cfRule type="expression" dxfId="310" priority="191">
      <formula>WEEKDAY($A$987,2)&gt;5</formula>
    </cfRule>
    <cfRule type="expression" dxfId="309" priority="222">
      <formula>NOT(MONTH($A$987)=DAY($J$1))</formula>
    </cfRule>
  </conditionalFormatting>
  <conditionalFormatting sqref="A1021:H1054">
    <cfRule type="expression" dxfId="308" priority="190">
      <formula>WEEKDAY($A$1021,2)&gt;5</formula>
    </cfRule>
    <cfRule type="expression" dxfId="307" priority="221">
      <formula>NOT(MONTH($A$1021)=DAY($J$1))</formula>
    </cfRule>
  </conditionalFormatting>
  <conditionalFormatting sqref="I35:I68">
    <cfRule type="expression" dxfId="306" priority="185">
      <formula>$A$35=TODAY()</formula>
    </cfRule>
  </conditionalFormatting>
  <conditionalFormatting sqref="I69:I102">
    <cfRule type="expression" dxfId="305" priority="184">
      <formula>$A$69=TODAY()</formula>
    </cfRule>
  </conditionalFormatting>
  <conditionalFormatting sqref="I1:I34">
    <cfRule type="expression" dxfId="304" priority="183">
      <formula>$A$1=TODAY()</formula>
    </cfRule>
  </conditionalFormatting>
  <conditionalFormatting sqref="I103:I136">
    <cfRule type="expression" dxfId="303" priority="182">
      <formula>$A$103=TODAY()</formula>
    </cfRule>
  </conditionalFormatting>
  <conditionalFormatting sqref="I137:I170">
    <cfRule type="expression" dxfId="302" priority="181">
      <formula>$A$137=TODAY()</formula>
    </cfRule>
  </conditionalFormatting>
  <conditionalFormatting sqref="I171:I204">
    <cfRule type="expression" dxfId="301" priority="180">
      <formula>$A$171=TODAY()</formula>
    </cfRule>
  </conditionalFormatting>
  <conditionalFormatting sqref="I205:I238">
    <cfRule type="expression" dxfId="300" priority="179">
      <formula>$A$205=TODAY()</formula>
    </cfRule>
  </conditionalFormatting>
  <conditionalFormatting sqref="I239:I272">
    <cfRule type="expression" dxfId="299" priority="178">
      <formula>$A$239=TODAY()</formula>
    </cfRule>
  </conditionalFormatting>
  <conditionalFormatting sqref="I273:I306">
    <cfRule type="expression" dxfId="298" priority="177">
      <formula>$A$273=TODAY()</formula>
    </cfRule>
  </conditionalFormatting>
  <conditionalFormatting sqref="I307:I340">
    <cfRule type="expression" dxfId="297" priority="176">
      <formula>$A$307=TODAY()</formula>
    </cfRule>
  </conditionalFormatting>
  <conditionalFormatting sqref="I341:I374">
    <cfRule type="expression" dxfId="296" priority="175">
      <formula>$A$341=TODAY()</formula>
    </cfRule>
  </conditionalFormatting>
  <conditionalFormatting sqref="I375:I408">
    <cfRule type="expression" dxfId="295" priority="174">
      <formula>$A$375=TODAY()</formula>
    </cfRule>
  </conditionalFormatting>
  <conditionalFormatting sqref="I409:I442">
    <cfRule type="expression" dxfId="294" priority="173">
      <formula>$A$409=TODAY()</formula>
    </cfRule>
  </conditionalFormatting>
  <conditionalFormatting sqref="I443:I476">
    <cfRule type="expression" dxfId="293" priority="172">
      <formula>$A$443=TODAY()</formula>
    </cfRule>
  </conditionalFormatting>
  <conditionalFormatting sqref="I477:I510">
    <cfRule type="expression" dxfId="292" priority="171">
      <formula>$A$477=TODAY()</formula>
    </cfRule>
  </conditionalFormatting>
  <conditionalFormatting sqref="I511:I544">
    <cfRule type="expression" dxfId="291" priority="170">
      <formula>$A$511=TODAY()</formula>
    </cfRule>
  </conditionalFormatting>
  <conditionalFormatting sqref="I545:I578">
    <cfRule type="expression" dxfId="290" priority="169">
      <formula>$A$545=TODAY()</formula>
    </cfRule>
  </conditionalFormatting>
  <conditionalFormatting sqref="I579:I612">
    <cfRule type="expression" dxfId="289" priority="168">
      <formula>$A$579=TODAY()</formula>
    </cfRule>
  </conditionalFormatting>
  <conditionalFormatting sqref="I613:I646">
    <cfRule type="expression" dxfId="288" priority="167">
      <formula>$A$613=TODAY()</formula>
    </cfRule>
  </conditionalFormatting>
  <conditionalFormatting sqref="I647:I680">
    <cfRule type="expression" dxfId="287" priority="166">
      <formula>$A$647=TODAY()</formula>
    </cfRule>
  </conditionalFormatting>
  <conditionalFormatting sqref="I681:I714">
    <cfRule type="expression" dxfId="286" priority="165">
      <formula>$A$681=TODAY()</formula>
    </cfRule>
  </conditionalFormatting>
  <conditionalFormatting sqref="I715:I748">
    <cfRule type="expression" dxfId="285" priority="164">
      <formula>$A$715=TODAY()</formula>
    </cfRule>
  </conditionalFormatting>
  <conditionalFormatting sqref="I749:I782">
    <cfRule type="expression" dxfId="284" priority="163">
      <formula>$A$749=TODAY()</formula>
    </cfRule>
  </conditionalFormatting>
  <conditionalFormatting sqref="I783:I816">
    <cfRule type="expression" dxfId="283" priority="162">
      <formula>$A$783=TODAY()</formula>
    </cfRule>
  </conditionalFormatting>
  <conditionalFormatting sqref="I817:I850">
    <cfRule type="expression" dxfId="282" priority="161">
      <formula>$A$817=TODAY()</formula>
    </cfRule>
  </conditionalFormatting>
  <conditionalFormatting sqref="I851:I884">
    <cfRule type="expression" dxfId="281" priority="160">
      <formula>$A$851=TODAY()</formula>
    </cfRule>
  </conditionalFormatting>
  <conditionalFormatting sqref="I885:I918">
    <cfRule type="expression" dxfId="280" priority="159">
      <formula>$A$885=TODAY()</formula>
    </cfRule>
  </conditionalFormatting>
  <conditionalFormatting sqref="I919:I952">
    <cfRule type="expression" dxfId="279" priority="158">
      <formula>$A$919=TODAY()</formula>
    </cfRule>
  </conditionalFormatting>
  <conditionalFormatting sqref="I953:I986">
    <cfRule type="expression" dxfId="278" priority="157">
      <formula>$A$953=TODAY()</formula>
    </cfRule>
  </conditionalFormatting>
  <conditionalFormatting sqref="I987:I1020">
    <cfRule type="expression" dxfId="277" priority="156">
      <formula>$A$987=TODAY()</formula>
    </cfRule>
  </conditionalFormatting>
  <conditionalFormatting sqref="I1021:I1054">
    <cfRule type="expression" dxfId="276" priority="155">
      <formula>$A$1021=TODAY()</formula>
    </cfRule>
  </conditionalFormatting>
  <conditionalFormatting sqref="C284:E287">
    <cfRule type="expression" dxfId="275" priority="154">
      <formula>WEEKDAY($A$239,2)&gt;5</formula>
    </cfRule>
  </conditionalFormatting>
  <conditionalFormatting sqref="C288">
    <cfRule type="expression" dxfId="274" priority="152">
      <formula>WEEKDAY($A$239,2)&gt;5</formula>
    </cfRule>
  </conditionalFormatting>
  <conditionalFormatting sqref="C412:F412 D439 C438:F438 D437 C436:F436 D435 C434:F434 D433 C432:F432 D431 C430:F430 D429 C428:F428 D427 C426:F426 D425 C424:F424 D423 C422:F422 D421 C420:F420 D419 C418:H418 D417 C416:F416 D415 C414:F414 D413 F413 F415 F417 F419:H419 F421 F423 F425 F427 F429 F431 F433 F435 F437 F439 H420:H439 H412:H417">
    <cfRule type="expression" dxfId="273" priority="150">
      <formula>WEEKDAY($A$409,2)&gt;5</formula>
    </cfRule>
  </conditionalFormatting>
  <conditionalFormatting sqref="C441">
    <cfRule type="expression" dxfId="272" priority="146">
      <formula>WEEKDAY($A$443,2)&gt;5</formula>
    </cfRule>
  </conditionalFormatting>
  <conditionalFormatting sqref="C439">
    <cfRule type="expression" dxfId="271" priority="144">
      <formula>WEEKDAY($A$443,2)&gt;5</formula>
    </cfRule>
  </conditionalFormatting>
  <conditionalFormatting sqref="C437">
    <cfRule type="expression" dxfId="270" priority="142">
      <formula>WEEKDAY($A$443,2)&gt;5</formula>
    </cfRule>
  </conditionalFormatting>
  <conditionalFormatting sqref="C435">
    <cfRule type="expression" dxfId="269" priority="140">
      <formula>WEEKDAY($A$443,2)&gt;5</formula>
    </cfRule>
  </conditionalFormatting>
  <conditionalFormatting sqref="C433">
    <cfRule type="expression" dxfId="268" priority="138">
      <formula>WEEKDAY($A$443,2)&gt;5</formula>
    </cfRule>
  </conditionalFormatting>
  <conditionalFormatting sqref="C431">
    <cfRule type="expression" dxfId="267" priority="136">
      <formula>WEEKDAY($A$443,2)&gt;5</formula>
    </cfRule>
  </conditionalFormatting>
  <conditionalFormatting sqref="C429">
    <cfRule type="expression" dxfId="266" priority="134">
      <formula>WEEKDAY($A$443,2)&gt;5</formula>
    </cfRule>
  </conditionalFormatting>
  <conditionalFormatting sqref="C427">
    <cfRule type="expression" dxfId="265" priority="132">
      <formula>WEEKDAY($A$443,2)&gt;5</formula>
    </cfRule>
  </conditionalFormatting>
  <conditionalFormatting sqref="C425">
    <cfRule type="expression" dxfId="264" priority="130">
      <formula>WEEKDAY($A$443,2)&gt;5</formula>
    </cfRule>
  </conditionalFormatting>
  <conditionalFormatting sqref="C423">
    <cfRule type="expression" dxfId="263" priority="128">
      <formula>WEEKDAY($A$443,2)&gt;5</formula>
    </cfRule>
  </conditionalFormatting>
  <conditionalFormatting sqref="C421">
    <cfRule type="expression" dxfId="262" priority="126">
      <formula>WEEKDAY($A$443,2)&gt;5</formula>
    </cfRule>
  </conditionalFormatting>
  <conditionalFormatting sqref="C419">
    <cfRule type="expression" dxfId="261" priority="124">
      <formula>WEEKDAY($A$443,2)&gt;5</formula>
    </cfRule>
  </conditionalFormatting>
  <conditionalFormatting sqref="C417">
    <cfRule type="expression" dxfId="260" priority="122">
      <formula>WEEKDAY($A$443,2)&gt;5</formula>
    </cfRule>
  </conditionalFormatting>
  <conditionalFormatting sqref="C415">
    <cfRule type="expression" dxfId="259" priority="120">
      <formula>WEEKDAY($A$443,2)&gt;5</formula>
    </cfRule>
  </conditionalFormatting>
  <conditionalFormatting sqref="C413">
    <cfRule type="expression" dxfId="258" priority="118">
      <formula>WEEKDAY($A$443,2)&gt;5</formula>
    </cfRule>
  </conditionalFormatting>
  <conditionalFormatting sqref="E413">
    <cfRule type="expression" dxfId="257" priority="116">
      <formula>WEEKDAY($A$443,2)&gt;5</formula>
    </cfRule>
  </conditionalFormatting>
  <conditionalFormatting sqref="E415">
    <cfRule type="expression" dxfId="256" priority="114">
      <formula>WEEKDAY($A$443,2)&gt;5</formula>
    </cfRule>
  </conditionalFormatting>
  <conditionalFormatting sqref="E417">
    <cfRule type="expression" dxfId="255" priority="112">
      <formula>WEEKDAY($A$443,2)&gt;5</formula>
    </cfRule>
  </conditionalFormatting>
  <conditionalFormatting sqref="E419">
    <cfRule type="expression" dxfId="254" priority="110">
      <formula>WEEKDAY($A$443,2)&gt;5</formula>
    </cfRule>
  </conditionalFormatting>
  <conditionalFormatting sqref="E421">
    <cfRule type="expression" dxfId="253" priority="108">
      <formula>WEEKDAY($A$443,2)&gt;5</formula>
    </cfRule>
  </conditionalFormatting>
  <conditionalFormatting sqref="E423">
    <cfRule type="expression" dxfId="252" priority="106">
      <formula>WEEKDAY($A$443,2)&gt;5</formula>
    </cfRule>
  </conditionalFormatting>
  <conditionalFormatting sqref="E425">
    <cfRule type="expression" dxfId="251" priority="104">
      <formula>WEEKDAY($A$443,2)&gt;5</formula>
    </cfRule>
  </conditionalFormatting>
  <conditionalFormatting sqref="E427">
    <cfRule type="expression" dxfId="250" priority="102">
      <formula>WEEKDAY($A$443,2)&gt;5</formula>
    </cfRule>
  </conditionalFormatting>
  <conditionalFormatting sqref="E429">
    <cfRule type="expression" dxfId="249" priority="100">
      <formula>WEEKDAY($A$443,2)&gt;5</formula>
    </cfRule>
  </conditionalFormatting>
  <conditionalFormatting sqref="E431">
    <cfRule type="expression" dxfId="248" priority="98">
      <formula>WEEKDAY($A$443,2)&gt;5</formula>
    </cfRule>
  </conditionalFormatting>
  <conditionalFormatting sqref="E433">
    <cfRule type="expression" dxfId="247" priority="96">
      <formula>WEEKDAY($A$443,2)&gt;5</formula>
    </cfRule>
  </conditionalFormatting>
  <conditionalFormatting sqref="E435">
    <cfRule type="expression" dxfId="246" priority="94">
      <formula>WEEKDAY($A$443,2)&gt;5</formula>
    </cfRule>
  </conditionalFormatting>
  <conditionalFormatting sqref="E437">
    <cfRule type="expression" dxfId="245" priority="92">
      <formula>WEEKDAY($A$443,2)&gt;5</formula>
    </cfRule>
  </conditionalFormatting>
  <conditionalFormatting sqref="E439">
    <cfRule type="expression" dxfId="244" priority="90">
      <formula>WEEKDAY($A$443,2)&gt;5</formula>
    </cfRule>
  </conditionalFormatting>
  <conditionalFormatting sqref="E441">
    <cfRule type="expression" dxfId="243" priority="88">
      <formula>WEEKDAY($A$443,2)&gt;5</formula>
    </cfRule>
  </conditionalFormatting>
  <conditionalFormatting sqref="G440:G441">
    <cfRule type="expression" dxfId="242" priority="86">
      <formula>WEEKDAY($A$443,2)&gt;5</formula>
    </cfRule>
  </conditionalFormatting>
  <conditionalFormatting sqref="G438:G439">
    <cfRule type="expression" dxfId="241" priority="84">
      <formula>WEEKDAY($A$443,2)&gt;5</formula>
    </cfRule>
  </conditionalFormatting>
  <conditionalFormatting sqref="G436:G437">
    <cfRule type="expression" dxfId="240" priority="82">
      <formula>WEEKDAY($A$443,2)&gt;5</formula>
    </cfRule>
  </conditionalFormatting>
  <conditionalFormatting sqref="G434:G435">
    <cfRule type="expression" dxfId="239" priority="80">
      <formula>WEEKDAY($A$443,2)&gt;5</formula>
    </cfRule>
  </conditionalFormatting>
  <conditionalFormatting sqref="G432:G433">
    <cfRule type="expression" dxfId="238" priority="78">
      <formula>WEEKDAY($A$443,2)&gt;5</formula>
    </cfRule>
  </conditionalFormatting>
  <conditionalFormatting sqref="G430:G431">
    <cfRule type="expression" dxfId="237" priority="76">
      <formula>WEEKDAY($A$443,2)&gt;5</formula>
    </cfRule>
  </conditionalFormatting>
  <conditionalFormatting sqref="G426:G427">
    <cfRule type="expression" dxfId="236" priority="72">
      <formula>WEEKDAY($A$443,2)&gt;5</formula>
    </cfRule>
  </conditionalFormatting>
  <conditionalFormatting sqref="G424:G425">
    <cfRule type="expression" dxfId="235" priority="70">
      <formula>WEEKDAY($A$443,2)&gt;5</formula>
    </cfRule>
  </conditionalFormatting>
  <conditionalFormatting sqref="G422:G423">
    <cfRule type="expression" dxfId="234" priority="68">
      <formula>WEEKDAY($A$443,2)&gt;5</formula>
    </cfRule>
  </conditionalFormatting>
  <conditionalFormatting sqref="G420:G421">
    <cfRule type="expression" dxfId="233" priority="66">
      <formula>WEEKDAY($A$443,2)&gt;5</formula>
    </cfRule>
  </conditionalFormatting>
  <conditionalFormatting sqref="G416:G417">
    <cfRule type="expression" dxfId="232" priority="64">
      <formula>WEEKDAY($A$443,2)&gt;5</formula>
    </cfRule>
  </conditionalFormatting>
  <conditionalFormatting sqref="G414:G415">
    <cfRule type="expression" dxfId="231" priority="62">
      <formula>WEEKDAY($A$443,2)&gt;5</formula>
    </cfRule>
  </conditionalFormatting>
  <conditionalFormatting sqref="G412:G413">
    <cfRule type="expression" dxfId="230" priority="60">
      <formula>WEEKDAY($A$443,2)&gt;5</formula>
    </cfRule>
  </conditionalFormatting>
  <conditionalFormatting sqref="G428:G429">
    <cfRule type="expression" dxfId="229" priority="58">
      <formula>WEEKDAY($A$443,2)&gt;5</formula>
    </cfRule>
  </conditionalFormatting>
  <conditionalFormatting sqref="G460:G461">
    <cfRule type="expression" dxfId="228" priority="56">
      <formula>WEEKDAY($A$443,2)&gt;5</formula>
    </cfRule>
  </conditionalFormatting>
  <conditionalFormatting sqref="G466:G467">
    <cfRule type="expression" dxfId="227" priority="54">
      <formula>WEEKDAY($A$443,2)&gt;5</formula>
    </cfRule>
  </conditionalFormatting>
  <conditionalFormatting sqref="G486:G487">
    <cfRule type="expression" dxfId="226" priority="52">
      <formula>WEEKDAY($A$443,2)&gt;5</formula>
    </cfRule>
  </conditionalFormatting>
  <conditionalFormatting sqref="G492:G493">
    <cfRule type="expression" dxfId="225" priority="50">
      <formula>WEEKDAY($A$443,2)&gt;5</formula>
    </cfRule>
  </conditionalFormatting>
  <conditionalFormatting sqref="G496:G497">
    <cfRule type="expression" dxfId="224" priority="48">
      <formula>WEEKDAY($A$443,2)&gt;5</formula>
    </cfRule>
  </conditionalFormatting>
  <conditionalFormatting sqref="H564:H567">
    <cfRule type="expression" dxfId="223" priority="46">
      <formula>WEEKDAY($A$477,2)&gt;5</formula>
    </cfRule>
  </conditionalFormatting>
  <conditionalFormatting sqref="E730">
    <cfRule type="expression" dxfId="222" priority="44">
      <formula>WEEKDAY($A$647,2)&gt;5</formula>
    </cfRule>
  </conditionalFormatting>
  <conditionalFormatting sqref="C732">
    <cfRule type="expression" dxfId="221" priority="42">
      <formula>WEEKDAY($A$647,2)&gt;5</formula>
    </cfRule>
  </conditionalFormatting>
  <conditionalFormatting sqref="G654:G655">
    <cfRule type="expression" dxfId="220" priority="40">
      <formula>WEEKDAY($A$681,2)&gt;5</formula>
    </cfRule>
  </conditionalFormatting>
  <conditionalFormatting sqref="G730:G731">
    <cfRule type="expression" dxfId="219" priority="36">
      <formula>WEEKDAY($A$647,2)&gt;5</formula>
    </cfRule>
  </conditionalFormatting>
  <conditionalFormatting sqref="G698">
    <cfRule type="expression" dxfId="218" priority="34">
      <formula>WEEKDAY($A$681,2)&gt;5</formula>
    </cfRule>
  </conditionalFormatting>
  <conditionalFormatting sqref="G700">
    <cfRule type="expression" dxfId="217" priority="30">
      <formula>WEEKDAY($A$681,2)&gt;5</formula>
    </cfRule>
  </conditionalFormatting>
  <conditionalFormatting sqref="G694:G695">
    <cfRule type="expression" dxfId="216" priority="28">
      <formula>WEEKDAY($A$647,2)&gt;5</formula>
    </cfRule>
  </conditionalFormatting>
  <conditionalFormatting sqref="G692:G693">
    <cfRule type="expression" dxfId="215" priority="26">
      <formula>WEEKDAY($A$681,2)&gt;5</formula>
    </cfRule>
  </conditionalFormatting>
  <conditionalFormatting sqref="G692:G693">
    <cfRule type="expression" dxfId="214" priority="24">
      <formula>WEEKDAY($A$647,2)&gt;5</formula>
    </cfRule>
  </conditionalFormatting>
  <conditionalFormatting sqref="H654:H655">
    <cfRule type="expression" dxfId="213" priority="22">
      <formula>WEEKDAY($A$681,2)&gt;5</formula>
    </cfRule>
  </conditionalFormatting>
  <conditionalFormatting sqref="E728">
    <cfRule type="expression" dxfId="212" priority="20">
      <formula>WEEKDAY($A$647,2)&gt;5</formula>
    </cfRule>
  </conditionalFormatting>
  <conditionalFormatting sqref="C730">
    <cfRule type="expression" dxfId="211" priority="18">
      <formula>WEEKDAY($A$647,2)&gt;5</formula>
    </cfRule>
  </conditionalFormatting>
  <conditionalFormatting sqref="G722:G723">
    <cfRule type="expression" dxfId="210" priority="16">
      <formula>WEEKDAY($A$681,2)&gt;5</formula>
    </cfRule>
  </conditionalFormatting>
  <conditionalFormatting sqref="G728:G729">
    <cfRule type="expression" dxfId="209" priority="14">
      <formula>WEEKDAY($A$647,2)&gt;5</formula>
    </cfRule>
  </conditionalFormatting>
  <conditionalFormatting sqref="G724:G725">
    <cfRule type="expression" dxfId="208" priority="12">
      <formula>WEEKDAY($A$681,2)&gt;5</formula>
    </cfRule>
  </conditionalFormatting>
  <conditionalFormatting sqref="G724:G725">
    <cfRule type="expression" dxfId="207" priority="10">
      <formula>WEEKDAY($A$647,2)&gt;5</formula>
    </cfRule>
  </conditionalFormatting>
  <conditionalFormatting sqref="B728:B729">
    <cfRule type="expression" dxfId="206" priority="8">
      <formula>WEEKDAY($A$681,2)&gt;5</formula>
    </cfRule>
  </conditionalFormatting>
  <conditionalFormatting sqref="B658:B659">
    <cfRule type="expression" dxfId="205" priority="6">
      <formula>WEEKDAY($A$681,2)&gt;5</formula>
    </cfRule>
  </conditionalFormatting>
  <conditionalFormatting sqref="E925">
    <cfRule type="expression" dxfId="204" priority="4">
      <formula>WEEKDAY($A$545,2)&gt;5</formula>
    </cfRule>
  </conditionalFormatting>
  <conditionalFormatting sqref="C927">
    <cfRule type="expression" dxfId="203" priority="2">
      <formula>WEEKDAY($A$545,2)&gt;5</formula>
    </cfRule>
  </conditionalFormatting>
  <pageMargins left="0.75" right="0.75" top="1" bottom="1" header="0.5" footer="0.5"/>
  <pageSetup paperSize="9" orientation="landscape" horizontalDpi="300" verticalDpi="300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51" id="{B0C31EB8-A653-4876-A1D7-EC02B7930639}">
            <xm:f>COUNTIF(Списки!$D$2:$D$17,J2:K32)&gt;0</xm:f>
            <x14:dxf>
              <font>
                <color theme="0" tint="-0.34998626667073579"/>
              </font>
            </x14:dxf>
          </x14:cfRule>
          <xm:sqref>J2:K32</xm:sqref>
        </x14:conditionalFormatting>
        <x14:conditionalFormatting xmlns:xm="http://schemas.microsoft.com/office/excel/2006/main">
          <x14:cfRule type="expression" priority="220" id="{E0DF958F-44E5-48D2-A71C-93FBA381026F}">
            <xm:f>COUNTIF(Списки!$D$2:$D$17,$A$1)&gt;0</xm:f>
            <x14:dxf>
              <font>
                <color theme="0" tint="-0.34998626667073579"/>
              </font>
            </x14:dxf>
          </x14:cfRule>
          <xm:sqref>A1:H34</xm:sqref>
        </x14:conditionalFormatting>
        <x14:conditionalFormatting xmlns:xm="http://schemas.microsoft.com/office/excel/2006/main">
          <x14:cfRule type="expression" priority="219" id="{C049A48B-91AA-44EB-AE3A-BC34BDC9C230}">
            <xm:f>COUNTIF(Списки!$D$2:$D$17,$A$35)&gt;0</xm:f>
            <x14:dxf>
              <font>
                <color theme="0" tint="-0.34998626667073579"/>
              </font>
            </x14:dxf>
          </x14:cfRule>
          <xm:sqref>A35:H68</xm:sqref>
        </x14:conditionalFormatting>
        <x14:conditionalFormatting xmlns:xm="http://schemas.microsoft.com/office/excel/2006/main">
          <x14:cfRule type="expression" priority="218" id="{E50F4880-9620-42CC-B525-7DD6D39EB757}">
            <xm:f>COUNTIF(Списки!$D$2:$D$17,$A$69)&gt;0</xm:f>
            <x14:dxf>
              <font>
                <color theme="0" tint="-0.34998626667073579"/>
              </font>
            </x14:dxf>
          </x14:cfRule>
          <xm:sqref>A69:H102</xm:sqref>
        </x14:conditionalFormatting>
        <x14:conditionalFormatting xmlns:xm="http://schemas.microsoft.com/office/excel/2006/main">
          <x14:cfRule type="expression" priority="217" id="{43E8465C-F4A1-4A16-8CD7-EFE67449EBE7}">
            <xm:f>COUNTIF(Списки!$D$2:$D$17,$A$103)&gt;0</xm:f>
            <x14:dxf>
              <font>
                <color theme="0" tint="-0.34998626667073579"/>
              </font>
            </x14:dxf>
          </x14:cfRule>
          <xm:sqref>A103:H136</xm:sqref>
        </x14:conditionalFormatting>
        <x14:conditionalFormatting xmlns:xm="http://schemas.microsoft.com/office/excel/2006/main">
          <x14:cfRule type="expression" priority="216" id="{BE65E613-91EB-4F3A-8D65-4B9E2F42E3A6}">
            <xm:f>COUNTIF(Списки!$D$2:$D$17,$A$137)&gt;0</xm:f>
            <x14:dxf>
              <font>
                <color theme="0" tint="-0.34998626667073579"/>
              </font>
            </x14:dxf>
          </x14:cfRule>
          <xm:sqref>A137:H170</xm:sqref>
        </x14:conditionalFormatting>
        <x14:conditionalFormatting xmlns:xm="http://schemas.microsoft.com/office/excel/2006/main">
          <x14:cfRule type="expression" priority="215" id="{DF7E47E2-ACA2-472E-838C-D1C56DA17A99}">
            <xm:f>COUNTIF(Списки!$D$2:$D$17,$A$171)&gt;0</xm:f>
            <x14:dxf>
              <font>
                <color theme="0" tint="-0.34998626667073579"/>
              </font>
            </x14:dxf>
          </x14:cfRule>
          <xm:sqref>A171:H204</xm:sqref>
        </x14:conditionalFormatting>
        <x14:conditionalFormatting xmlns:xm="http://schemas.microsoft.com/office/excel/2006/main">
          <x14:cfRule type="expression" priority="214" id="{CA268101-569D-448F-B32B-C58AB3B7C687}">
            <xm:f>COUNTIF(Списки!$D$2:$D$17,$A$205)&gt;0</xm:f>
            <x14:dxf>
              <font>
                <color theme="0" tint="-0.34998626667073579"/>
              </font>
            </x14:dxf>
          </x14:cfRule>
          <xm:sqref>A205:H238</xm:sqref>
        </x14:conditionalFormatting>
        <x14:conditionalFormatting xmlns:xm="http://schemas.microsoft.com/office/excel/2006/main">
          <x14:cfRule type="expression" priority="213" id="{0EFE0D25-47F5-4A6D-9B74-942BA586DD6D}">
            <xm:f>COUNTIF(Списки!$D$2:$D$17,$A$239)&gt;0</xm:f>
            <x14:dxf>
              <font>
                <color theme="0" tint="-0.34998626667073579"/>
              </font>
            </x14:dxf>
          </x14:cfRule>
          <xm:sqref>A239:H272</xm:sqref>
        </x14:conditionalFormatting>
        <x14:conditionalFormatting xmlns:xm="http://schemas.microsoft.com/office/excel/2006/main">
          <x14:cfRule type="expression" priority="212" id="{0AB2DFBB-E88D-4B6A-904E-BAA9144F716A}">
            <xm:f>COUNTIF(Списки!$D$2:$D$17,$A$273)&gt;0</xm:f>
            <x14:dxf>
              <font>
                <color theme="0" tint="-0.34998626667073579"/>
              </font>
            </x14:dxf>
          </x14:cfRule>
          <xm:sqref>F284:H287 A273:H283 A284:B288 D288:H288 A289:H306</xm:sqref>
        </x14:conditionalFormatting>
        <x14:conditionalFormatting xmlns:xm="http://schemas.microsoft.com/office/excel/2006/main">
          <x14:cfRule type="expression" priority="211" id="{0C484ABA-49A3-4650-86D6-3E859EFDC77E}">
            <xm:f>COUNTIF(Списки!$D$2:$D$17,$A$307)&gt;0</xm:f>
            <x14:dxf>
              <font>
                <color theme="0" tint="-0.34998626667073579"/>
              </font>
            </x14:dxf>
          </x14:cfRule>
          <xm:sqref>A307:H340</xm:sqref>
        </x14:conditionalFormatting>
        <x14:conditionalFormatting xmlns:xm="http://schemas.microsoft.com/office/excel/2006/main">
          <x14:cfRule type="expression" priority="210" id="{F2951543-8952-40E5-92C2-3A08C57AA688}">
            <xm:f>COUNTIF(Списки!$D$2:$D$17,$A$341)&gt;0</xm:f>
            <x14:dxf>
              <font>
                <color theme="0" tint="-0.34998626667073579"/>
              </font>
            </x14:dxf>
          </x14:cfRule>
          <xm:sqref>A341:H374</xm:sqref>
        </x14:conditionalFormatting>
        <x14:conditionalFormatting xmlns:xm="http://schemas.microsoft.com/office/excel/2006/main">
          <x14:cfRule type="expression" priority="209" id="{7DBA3877-0B5A-4AB8-AE52-67A78CE7B5EC}">
            <xm:f>COUNTIF(Списки!$D$2:$D$17,$A$375)&gt;0</xm:f>
            <x14:dxf>
              <font>
                <color theme="0" tint="-0.34998626667073579"/>
              </font>
            </x14:dxf>
          </x14:cfRule>
          <xm:sqref>A375:H408</xm:sqref>
        </x14:conditionalFormatting>
        <x14:conditionalFormatting xmlns:xm="http://schemas.microsoft.com/office/excel/2006/main">
          <x14:cfRule type="expression" priority="208" id="{EDA82814-9F74-41B8-B808-CFA8F41BAB65}">
            <xm:f>COUNTIF(Списки!$D$2:$D$17,$A$409)&gt;0</xm:f>
            <x14:dxf>
              <font>
                <color theme="0" tint="-0.34998626667073579"/>
              </font>
            </x14:dxf>
          </x14:cfRule>
          <xm:sqref>A409:H411 A440:F440 A412:B439 A442:H442 A441:B441 D441 F441 H440:H441</xm:sqref>
        </x14:conditionalFormatting>
        <x14:conditionalFormatting xmlns:xm="http://schemas.microsoft.com/office/excel/2006/main">
          <x14:cfRule type="expression" priority="207" id="{E35153D1-5AF3-443E-8A0C-DD03CC8CED5A}">
            <xm:f>COUNTIF(Списки!$D$2:$D$17,)&gt;0</xm:f>
            <x14:dxf>
              <font>
                <color theme="0" tint="-0.34998626667073579"/>
              </font>
            </x14:dxf>
          </x14:cfRule>
          <xm:sqref>A443:H459 A460:F461 H460:H461 A462:H465 A466:F467 H466:H467 A468:H476</xm:sqref>
        </x14:conditionalFormatting>
        <x14:conditionalFormatting xmlns:xm="http://schemas.microsoft.com/office/excel/2006/main">
          <x14:cfRule type="expression" priority="206" id="{9E590E5A-51DE-4D7C-ADF7-D6CF2B391790}">
            <xm:f>COUNTIF(Списки!$D$2:$D$17,$A$477)&gt;0</xm:f>
            <x14:dxf>
              <font>
                <color theme="0" tint="-0.34998626667073579"/>
              </font>
            </x14:dxf>
          </x14:cfRule>
          <xm:sqref>A477:H485 A488:H491 A486:F487 H486:H487 A494:H495 A492:F493 H492:H493 A496:F497 H496:H497 A498:H510</xm:sqref>
        </x14:conditionalFormatting>
        <x14:conditionalFormatting xmlns:xm="http://schemas.microsoft.com/office/excel/2006/main">
          <x14:cfRule type="expression" priority="205" id="{6DAE2523-4826-49D2-9C20-D57595444913}">
            <xm:f>COUNTIF(Списки!$D$2:$D$17,$A$511)&gt;0</xm:f>
            <x14:dxf>
              <font>
                <color theme="0" tint="-0.34998626667073579"/>
              </font>
            </x14:dxf>
          </x14:cfRule>
          <xm:sqref>A511:H544</xm:sqref>
        </x14:conditionalFormatting>
        <x14:conditionalFormatting xmlns:xm="http://schemas.microsoft.com/office/excel/2006/main">
          <x14:cfRule type="expression" priority="204" id="{0E375FF1-C5C5-4698-B6FA-7E604BCA7AC7}">
            <xm:f>COUNTIF(Списки!$D$2:$D$17,$A$545)&gt;0</xm:f>
            <x14:dxf>
              <font>
                <color theme="0" tint="-0.34998626667073579"/>
              </font>
            </x14:dxf>
          </x14:cfRule>
          <xm:sqref>A545:H563 A568:H578 A564:G567</xm:sqref>
        </x14:conditionalFormatting>
        <x14:conditionalFormatting xmlns:xm="http://schemas.microsoft.com/office/excel/2006/main">
          <x14:cfRule type="expression" priority="203" id="{D5D9E153-548F-455F-ADD3-B5DB97C207D3}">
            <xm:f>COUNTIF(Списки!$D$2:$D$17,$A$579)&gt;0</xm:f>
            <x14:dxf>
              <font>
                <color theme="0" tint="-0.34998626667073579"/>
              </font>
            </x14:dxf>
          </x14:cfRule>
          <xm:sqref>A579:H612</xm:sqref>
        </x14:conditionalFormatting>
        <x14:conditionalFormatting xmlns:xm="http://schemas.microsoft.com/office/excel/2006/main">
          <x14:cfRule type="expression" priority="202" id="{77DAD50E-DEF6-4DB2-92B7-900116BBC2B8}">
            <xm:f>COUNTIF(Списки!$D$2:$D$17,$A$613)&gt;0</xm:f>
            <x14:dxf>
              <font>
                <color theme="0" tint="-0.34998626667073579"/>
              </font>
            </x14:dxf>
          </x14:cfRule>
          <xm:sqref>A613:H646</xm:sqref>
        </x14:conditionalFormatting>
        <x14:conditionalFormatting xmlns:xm="http://schemas.microsoft.com/office/excel/2006/main">
          <x14:cfRule type="expression" priority="201" id="{6A6C4474-56D2-4542-9A2D-10BB78E4FF08}">
            <xm:f>COUNTIF(Списки!$D$2:$D$17,$A$647)&gt;0</xm:f>
            <x14:dxf>
              <font>
                <color theme="0" tint="-0.34998626667073579"/>
              </font>
            </x14:dxf>
          </x14:cfRule>
          <xm:sqref>A656:H657 A654:F655 A660:H680 A658:A659 C658:H659 A647:H653</xm:sqref>
        </x14:conditionalFormatting>
        <x14:conditionalFormatting xmlns:xm="http://schemas.microsoft.com/office/excel/2006/main">
          <x14:cfRule type="expression" priority="200" id="{26C40B49-AC6D-4506-9905-78BD0F535E58}">
            <xm:f>COUNTIF(Списки!$D$2:$D$17,$A$681)&gt;0</xm:f>
            <x14:dxf>
              <font>
                <color theme="0" tint="-0.34998626667073579"/>
              </font>
            </x14:dxf>
          </x14:cfRule>
          <xm:sqref>A681:H691 A692:F693 H692:H693 A700:H700 C696:C703 A694:H696 A704:H714 A703:E703 H703 A702:H702 A701:E701 H701 A698:G698 H697:H699 A699:E699 A697:E697</xm:sqref>
        </x14:conditionalFormatting>
        <x14:conditionalFormatting xmlns:xm="http://schemas.microsoft.com/office/excel/2006/main">
          <x14:cfRule type="expression" priority="199" id="{1B8DF649-53EE-4B04-9884-F5AD144205C1}">
            <xm:f>COUNTIF(Списки!$D$2:$D$17,$A$715)&gt;0</xm:f>
            <x14:dxf>
              <font>
                <color theme="0" tint="-0.34998626667073579"/>
              </font>
            </x14:dxf>
          </x14:cfRule>
          <xm:sqref>A715:H721 A731:F731 A730:D730 F730 A732:B732 D732:H732 A733:H748 A726:H727 E729:E733 E722:E727 C731:C733 C724:C729 A722:F725 H722:H725 A728:A729 H728:H731 C728:F729</xm:sqref>
        </x14:conditionalFormatting>
        <x14:conditionalFormatting xmlns:xm="http://schemas.microsoft.com/office/excel/2006/main">
          <x14:cfRule type="expression" priority="198" id="{591D5318-2DE8-42F1-8980-70690025F796}">
            <xm:f>COUNTIF(Списки!$D$2:$D$17,$A$749)&gt;0</xm:f>
            <x14:dxf>
              <font>
                <color theme="0" tint="-0.34998626667073579"/>
              </font>
            </x14:dxf>
          </x14:cfRule>
          <xm:sqref>A749:H782</xm:sqref>
        </x14:conditionalFormatting>
        <x14:conditionalFormatting xmlns:xm="http://schemas.microsoft.com/office/excel/2006/main">
          <x14:cfRule type="expression" priority="197" id="{C14754A5-B646-470C-9828-CD585642652B}">
            <xm:f>COUNTIF(Списки!$D$2:$D$17,$A$783)&gt;0</xm:f>
            <x14:dxf>
              <font>
                <color theme="0" tint="-0.34998626667073579"/>
              </font>
            </x14:dxf>
          </x14:cfRule>
          <xm:sqref>A783:H816</xm:sqref>
        </x14:conditionalFormatting>
        <x14:conditionalFormatting xmlns:xm="http://schemas.microsoft.com/office/excel/2006/main">
          <x14:cfRule type="expression" priority="196" id="{60BC6026-D45E-4B10-9A4D-E407C8426387}">
            <xm:f>COUNTIF(Списки!$D$2:$D$17,$A$817)&gt;0</xm:f>
            <x14:dxf>
              <font>
                <color theme="0" tint="-0.34998626667073579"/>
              </font>
            </x14:dxf>
          </x14:cfRule>
          <xm:sqref>A817:H850</xm:sqref>
        </x14:conditionalFormatting>
        <x14:conditionalFormatting xmlns:xm="http://schemas.microsoft.com/office/excel/2006/main">
          <x14:cfRule type="expression" priority="195" id="{A91695BC-AC4E-43AE-89B7-B444FE14B5CD}">
            <xm:f>COUNTIF(Списки!$D$2:$D$17,$A$851)&gt;0</xm:f>
            <x14:dxf>
              <font>
                <color theme="0" tint="-0.34998626667073579"/>
              </font>
            </x14:dxf>
          </x14:cfRule>
          <xm:sqref>A851:H884</xm:sqref>
        </x14:conditionalFormatting>
        <x14:conditionalFormatting xmlns:xm="http://schemas.microsoft.com/office/excel/2006/main">
          <x14:cfRule type="expression" priority="194" id="{9403812C-F458-4120-BF7A-E9EB871BF40D}">
            <xm:f>COUNTIF(Списки!$D$2:$D$17,$A$885)&gt;0</xm:f>
            <x14:dxf>
              <font>
                <color theme="0" tint="-0.34998626667073579"/>
              </font>
            </x14:dxf>
          </x14:cfRule>
          <xm:sqref>A885:H918</xm:sqref>
        </x14:conditionalFormatting>
        <x14:conditionalFormatting xmlns:xm="http://schemas.microsoft.com/office/excel/2006/main">
          <x14:cfRule type="expression" priority="193" id="{1E325B8E-1695-4BE1-BFAB-DB5352C88608}">
            <xm:f>COUNTIF(Списки!$D$2:$D$17,$A$919)&gt;0</xm:f>
            <x14:dxf>
              <font>
                <color theme="0" tint="-0.34998626667073579"/>
              </font>
            </x14:dxf>
          </x14:cfRule>
          <xm:sqref>A919:H924 A926:H926 A925:D925 F925:H925 A927:B927 D927:H927 A928:H952</xm:sqref>
        </x14:conditionalFormatting>
        <x14:conditionalFormatting xmlns:xm="http://schemas.microsoft.com/office/excel/2006/main">
          <x14:cfRule type="expression" priority="186" id="{F3C63A2D-C0EF-4AA9-8875-8CEE0ABF7BB2}">
            <xm:f>COUNTIF(Списки!$D$2:$D$17,$A$953)&gt;0</xm:f>
            <x14:dxf>
              <font>
                <color theme="0" tint="-0.34998626667073579"/>
              </font>
            </x14:dxf>
          </x14:cfRule>
          <xm:sqref>A953:H986</xm:sqref>
        </x14:conditionalFormatting>
        <x14:conditionalFormatting xmlns:xm="http://schemas.microsoft.com/office/excel/2006/main">
          <x14:cfRule type="expression" priority="187" id="{DAFBAEE6-CC59-40A6-A216-4590801B30F0}">
            <xm:f>COUNTIF(Списки!$D$2:$D$17,$A$987)&gt;0</xm:f>
            <x14:dxf>
              <font>
                <color theme="0" tint="-0.34998626667073579"/>
              </font>
            </x14:dxf>
          </x14:cfRule>
          <xm:sqref>A987:H1020</xm:sqref>
        </x14:conditionalFormatting>
        <x14:conditionalFormatting xmlns:xm="http://schemas.microsoft.com/office/excel/2006/main">
          <x14:cfRule type="expression" priority="188" id="{BC6E5D67-5D93-4AB3-B66D-77E508D0EC8B}">
            <xm:f>COUNTIF(Списки!$D$2:$D$17,$A$1021)&gt;0</xm:f>
            <x14:dxf>
              <font>
                <color theme="0" tint="-0.34998626667073579"/>
              </font>
            </x14:dxf>
          </x14:cfRule>
          <xm:sqref>A1021:H1054</xm:sqref>
        </x14:conditionalFormatting>
        <x14:conditionalFormatting xmlns:xm="http://schemas.microsoft.com/office/excel/2006/main">
          <x14:cfRule type="expression" priority="153" id="{76B48DD1-C407-45B6-BB0C-47D9B7BE16EA}">
            <xm:f>COUNTIF(Списки!$D$2:$D$17,$A$239)&gt;0</xm:f>
            <x14:dxf>
              <font>
                <color theme="0" tint="-0.34998626667073579"/>
              </font>
            </x14:dxf>
          </x14:cfRule>
          <xm:sqref>C284:E287</xm:sqref>
        </x14:conditionalFormatting>
        <x14:conditionalFormatting xmlns:xm="http://schemas.microsoft.com/office/excel/2006/main">
          <x14:cfRule type="expression" priority="151" id="{E851F0D8-1769-4462-BDF9-F913E4D3C176}">
            <xm:f>COUNTIF(Списки!$D$2:$D$17,$A$239)&gt;0</xm:f>
            <x14:dxf>
              <font>
                <color theme="0" tint="-0.34998626667073579"/>
              </font>
            </x14:dxf>
          </x14:cfRule>
          <xm:sqref>C288</xm:sqref>
        </x14:conditionalFormatting>
        <x14:conditionalFormatting xmlns:xm="http://schemas.microsoft.com/office/excel/2006/main">
          <x14:cfRule type="expression" priority="149" id="{313CBCD0-5606-4417-ABEB-EE42BCAC34A5}">
            <xm:f>COUNTIF('\Users\HSteel\AppData\Roaming\Microsoft\Excel\[Отчеты (version 1).xlsb]Списки'!#REF!,$A$409)&gt;0</xm:f>
            <x14:dxf>
              <font>
                <color theme="0" tint="-0.34998626667073579"/>
              </font>
            </x14:dxf>
          </x14:cfRule>
          <xm:sqref>C412:F412 D439 C438:F438 D437 C436:F436 D435 C434:F434 D433 C432:F432 D431 C430:F430 D429 C428:F428 D427 C426:F426 D425 C424:F424 D423 C422:F422 D421 C420:F420 D419 C418:H418 D417 C416:F416 D415 C414:F414 D413 F413 F415 F417 F419:H419 F421 F423 F425 F427 F429 F431 F433 F435 F437 F439 H420:H439 H412:H417</xm:sqref>
        </x14:conditionalFormatting>
        <x14:conditionalFormatting xmlns:xm="http://schemas.microsoft.com/office/excel/2006/main">
          <x14:cfRule type="expression" priority="145" id="{4C7AD7FF-B10E-4E20-BD8D-645D19366A0C}">
            <xm:f>COUNTIF(Списки!$D$2:$D$17,)&gt;0</xm:f>
            <x14:dxf>
              <font>
                <color theme="0" tint="-0.34998626667073579"/>
              </font>
            </x14:dxf>
          </x14:cfRule>
          <xm:sqref>C441</xm:sqref>
        </x14:conditionalFormatting>
        <x14:conditionalFormatting xmlns:xm="http://schemas.microsoft.com/office/excel/2006/main">
          <x14:cfRule type="expression" priority="143" id="{EEC039C1-6970-4D6C-9659-1931A8F9F093}">
            <xm:f>COUNTIF(Списки!$D$2:$D$17,)&gt;0</xm:f>
            <x14:dxf>
              <font>
                <color theme="0" tint="-0.34998626667073579"/>
              </font>
            </x14:dxf>
          </x14:cfRule>
          <xm:sqref>C439</xm:sqref>
        </x14:conditionalFormatting>
        <x14:conditionalFormatting xmlns:xm="http://schemas.microsoft.com/office/excel/2006/main">
          <x14:cfRule type="expression" priority="141" id="{D199D705-97B0-44E9-A93D-826996AB010D}">
            <xm:f>COUNTIF(Списки!$D$2:$D$17,)&gt;0</xm:f>
            <x14:dxf>
              <font>
                <color theme="0" tint="-0.34998626667073579"/>
              </font>
            </x14:dxf>
          </x14:cfRule>
          <xm:sqref>C437</xm:sqref>
        </x14:conditionalFormatting>
        <x14:conditionalFormatting xmlns:xm="http://schemas.microsoft.com/office/excel/2006/main">
          <x14:cfRule type="expression" priority="139" id="{9F5BB10F-A8D1-4D17-8745-5F304C2EA27A}">
            <xm:f>COUNTIF(Списки!$D$2:$D$17,)&gt;0</xm:f>
            <x14:dxf>
              <font>
                <color theme="0" tint="-0.34998626667073579"/>
              </font>
            </x14:dxf>
          </x14:cfRule>
          <xm:sqref>C435</xm:sqref>
        </x14:conditionalFormatting>
        <x14:conditionalFormatting xmlns:xm="http://schemas.microsoft.com/office/excel/2006/main">
          <x14:cfRule type="expression" priority="137" id="{4F2B903A-DC6C-4B02-AEB3-80F9307C2F3C}">
            <xm:f>COUNTIF(Списки!$D$2:$D$17,)&gt;0</xm:f>
            <x14:dxf>
              <font>
                <color theme="0" tint="-0.34998626667073579"/>
              </font>
            </x14:dxf>
          </x14:cfRule>
          <xm:sqref>C433</xm:sqref>
        </x14:conditionalFormatting>
        <x14:conditionalFormatting xmlns:xm="http://schemas.microsoft.com/office/excel/2006/main">
          <x14:cfRule type="expression" priority="135" id="{CC538EA8-BCA2-472D-8E9C-DCBBFAD001A6}">
            <xm:f>COUNTIF(Списки!$D$2:$D$17,)&gt;0</xm:f>
            <x14:dxf>
              <font>
                <color theme="0" tint="-0.34998626667073579"/>
              </font>
            </x14:dxf>
          </x14:cfRule>
          <xm:sqref>C431</xm:sqref>
        </x14:conditionalFormatting>
        <x14:conditionalFormatting xmlns:xm="http://schemas.microsoft.com/office/excel/2006/main">
          <x14:cfRule type="expression" priority="133" id="{7C7E0880-9690-4DD0-8722-26F7E304AF58}">
            <xm:f>COUNTIF(Списки!$D$2:$D$17,)&gt;0</xm:f>
            <x14:dxf>
              <font>
                <color theme="0" tint="-0.34998626667073579"/>
              </font>
            </x14:dxf>
          </x14:cfRule>
          <xm:sqref>C429</xm:sqref>
        </x14:conditionalFormatting>
        <x14:conditionalFormatting xmlns:xm="http://schemas.microsoft.com/office/excel/2006/main">
          <x14:cfRule type="expression" priority="131" id="{7484DB09-EF9D-4CAE-97B5-BE6C3FCC79FA}">
            <xm:f>COUNTIF(Списки!$D$2:$D$17,)&gt;0</xm:f>
            <x14:dxf>
              <font>
                <color theme="0" tint="-0.34998626667073579"/>
              </font>
            </x14:dxf>
          </x14:cfRule>
          <xm:sqref>C427</xm:sqref>
        </x14:conditionalFormatting>
        <x14:conditionalFormatting xmlns:xm="http://schemas.microsoft.com/office/excel/2006/main">
          <x14:cfRule type="expression" priority="129" id="{961D458B-EBEB-4FF3-9A49-76E0E027F6EB}">
            <xm:f>COUNTIF(Списки!$D$2:$D$17,)&gt;0</xm:f>
            <x14:dxf>
              <font>
                <color theme="0" tint="-0.34998626667073579"/>
              </font>
            </x14:dxf>
          </x14:cfRule>
          <xm:sqref>C425</xm:sqref>
        </x14:conditionalFormatting>
        <x14:conditionalFormatting xmlns:xm="http://schemas.microsoft.com/office/excel/2006/main">
          <x14:cfRule type="expression" priority="127" id="{0418DABD-AC65-48A6-BE6D-867F1EAE4E78}">
            <xm:f>COUNTIF(Списки!$D$2:$D$17,)&gt;0</xm:f>
            <x14:dxf>
              <font>
                <color theme="0" tint="-0.34998626667073579"/>
              </font>
            </x14:dxf>
          </x14:cfRule>
          <xm:sqref>C423</xm:sqref>
        </x14:conditionalFormatting>
        <x14:conditionalFormatting xmlns:xm="http://schemas.microsoft.com/office/excel/2006/main">
          <x14:cfRule type="expression" priority="125" id="{CC547A99-C905-46B6-A323-595BA1E8681D}">
            <xm:f>COUNTIF(Списки!$D$2:$D$17,)&gt;0</xm:f>
            <x14:dxf>
              <font>
                <color theme="0" tint="-0.34998626667073579"/>
              </font>
            </x14:dxf>
          </x14:cfRule>
          <xm:sqref>C421</xm:sqref>
        </x14:conditionalFormatting>
        <x14:conditionalFormatting xmlns:xm="http://schemas.microsoft.com/office/excel/2006/main">
          <x14:cfRule type="expression" priority="123" id="{17473EF6-7E77-44AC-9505-AFEBB2252573}">
            <xm:f>COUNTIF(Списки!$D$2:$D$17,)&gt;0</xm:f>
            <x14:dxf>
              <font>
                <color theme="0" tint="-0.34998626667073579"/>
              </font>
            </x14:dxf>
          </x14:cfRule>
          <xm:sqref>C419</xm:sqref>
        </x14:conditionalFormatting>
        <x14:conditionalFormatting xmlns:xm="http://schemas.microsoft.com/office/excel/2006/main">
          <x14:cfRule type="expression" priority="121" id="{C24020CD-0902-45A2-B369-5623E7E155AA}">
            <xm:f>COUNTIF(Списки!$D$2:$D$17,)&gt;0</xm:f>
            <x14:dxf>
              <font>
                <color theme="0" tint="-0.34998626667073579"/>
              </font>
            </x14:dxf>
          </x14:cfRule>
          <xm:sqref>C417</xm:sqref>
        </x14:conditionalFormatting>
        <x14:conditionalFormatting xmlns:xm="http://schemas.microsoft.com/office/excel/2006/main">
          <x14:cfRule type="expression" priority="119" id="{E343D6B7-80E1-499A-B9E3-631567562750}">
            <xm:f>COUNTIF(Списки!$D$2:$D$17,)&gt;0</xm:f>
            <x14:dxf>
              <font>
                <color theme="0" tint="-0.34998626667073579"/>
              </font>
            </x14:dxf>
          </x14:cfRule>
          <xm:sqref>C415</xm:sqref>
        </x14:conditionalFormatting>
        <x14:conditionalFormatting xmlns:xm="http://schemas.microsoft.com/office/excel/2006/main">
          <x14:cfRule type="expression" priority="117" id="{2A9ACF1F-7107-47DB-AB20-B1AA9BE46D7E}">
            <xm:f>COUNTIF(Списки!$D$2:$D$17,)&gt;0</xm:f>
            <x14:dxf>
              <font>
                <color theme="0" tint="-0.34998626667073579"/>
              </font>
            </x14:dxf>
          </x14:cfRule>
          <xm:sqref>C413</xm:sqref>
        </x14:conditionalFormatting>
        <x14:conditionalFormatting xmlns:xm="http://schemas.microsoft.com/office/excel/2006/main">
          <x14:cfRule type="expression" priority="115" id="{C79EBE6E-4325-498F-BD96-57A21F5C79D0}">
            <xm:f>COUNTIF(Списки!$D$2:$D$17,)&gt;0</xm:f>
            <x14:dxf>
              <font>
                <color theme="0" tint="-0.34998626667073579"/>
              </font>
            </x14:dxf>
          </x14:cfRule>
          <xm:sqref>E413</xm:sqref>
        </x14:conditionalFormatting>
        <x14:conditionalFormatting xmlns:xm="http://schemas.microsoft.com/office/excel/2006/main">
          <x14:cfRule type="expression" priority="113" id="{C1FDD15D-30D2-4880-A378-407E7F97C1EF}">
            <xm:f>COUNTIF(Списки!$D$2:$D$17,)&gt;0</xm:f>
            <x14:dxf>
              <font>
                <color theme="0" tint="-0.34998626667073579"/>
              </font>
            </x14:dxf>
          </x14:cfRule>
          <xm:sqref>E415</xm:sqref>
        </x14:conditionalFormatting>
        <x14:conditionalFormatting xmlns:xm="http://schemas.microsoft.com/office/excel/2006/main">
          <x14:cfRule type="expression" priority="111" id="{F1ECDA63-042A-4206-8A83-6FA3641B4E10}">
            <xm:f>COUNTIF(Списки!$D$2:$D$17,)&gt;0</xm:f>
            <x14:dxf>
              <font>
                <color theme="0" tint="-0.34998626667073579"/>
              </font>
            </x14:dxf>
          </x14:cfRule>
          <xm:sqref>E417</xm:sqref>
        </x14:conditionalFormatting>
        <x14:conditionalFormatting xmlns:xm="http://schemas.microsoft.com/office/excel/2006/main">
          <x14:cfRule type="expression" priority="109" id="{45585383-6157-49F8-8526-EBB44F3885A4}">
            <xm:f>COUNTIF(Списки!$D$2:$D$17,)&gt;0</xm:f>
            <x14:dxf>
              <font>
                <color theme="0" tint="-0.34998626667073579"/>
              </font>
            </x14:dxf>
          </x14:cfRule>
          <xm:sqref>E419</xm:sqref>
        </x14:conditionalFormatting>
        <x14:conditionalFormatting xmlns:xm="http://schemas.microsoft.com/office/excel/2006/main">
          <x14:cfRule type="expression" priority="107" id="{708B7A50-BC47-4162-9174-6BD2F5B8F334}">
            <xm:f>COUNTIF(Списки!$D$2:$D$17,)&gt;0</xm:f>
            <x14:dxf>
              <font>
                <color theme="0" tint="-0.34998626667073579"/>
              </font>
            </x14:dxf>
          </x14:cfRule>
          <xm:sqref>E421</xm:sqref>
        </x14:conditionalFormatting>
        <x14:conditionalFormatting xmlns:xm="http://schemas.microsoft.com/office/excel/2006/main">
          <x14:cfRule type="expression" priority="105" id="{D17655CA-AEE5-4941-AEBF-79BBC2A7BD91}">
            <xm:f>COUNTIF(Списки!$D$2:$D$17,)&gt;0</xm:f>
            <x14:dxf>
              <font>
                <color theme="0" tint="-0.34998626667073579"/>
              </font>
            </x14:dxf>
          </x14:cfRule>
          <xm:sqref>E423</xm:sqref>
        </x14:conditionalFormatting>
        <x14:conditionalFormatting xmlns:xm="http://schemas.microsoft.com/office/excel/2006/main">
          <x14:cfRule type="expression" priority="103" id="{886FEA12-82E1-4D87-B645-F6EAD00637B6}">
            <xm:f>COUNTIF(Списки!$D$2:$D$17,)&gt;0</xm:f>
            <x14:dxf>
              <font>
                <color theme="0" tint="-0.34998626667073579"/>
              </font>
            </x14:dxf>
          </x14:cfRule>
          <xm:sqref>E425</xm:sqref>
        </x14:conditionalFormatting>
        <x14:conditionalFormatting xmlns:xm="http://schemas.microsoft.com/office/excel/2006/main">
          <x14:cfRule type="expression" priority="101" id="{0D3C6A8E-E8F6-4CCE-902B-2DB624ACF7EF}">
            <xm:f>COUNTIF(Списки!$D$2:$D$17,)&gt;0</xm:f>
            <x14:dxf>
              <font>
                <color theme="0" tint="-0.34998626667073579"/>
              </font>
            </x14:dxf>
          </x14:cfRule>
          <xm:sqref>E427</xm:sqref>
        </x14:conditionalFormatting>
        <x14:conditionalFormatting xmlns:xm="http://schemas.microsoft.com/office/excel/2006/main">
          <x14:cfRule type="expression" priority="99" id="{B60EA915-84D7-445C-9192-863C625A1767}">
            <xm:f>COUNTIF(Списки!$D$2:$D$17,)&gt;0</xm:f>
            <x14:dxf>
              <font>
                <color theme="0" tint="-0.34998626667073579"/>
              </font>
            </x14:dxf>
          </x14:cfRule>
          <xm:sqref>E429</xm:sqref>
        </x14:conditionalFormatting>
        <x14:conditionalFormatting xmlns:xm="http://schemas.microsoft.com/office/excel/2006/main">
          <x14:cfRule type="expression" priority="97" id="{8E03395E-2D87-4192-93F1-066B8F47AD20}">
            <xm:f>COUNTIF(Списки!$D$2:$D$17,)&gt;0</xm:f>
            <x14:dxf>
              <font>
                <color theme="0" tint="-0.34998626667073579"/>
              </font>
            </x14:dxf>
          </x14:cfRule>
          <xm:sqref>E431</xm:sqref>
        </x14:conditionalFormatting>
        <x14:conditionalFormatting xmlns:xm="http://schemas.microsoft.com/office/excel/2006/main">
          <x14:cfRule type="expression" priority="95" id="{5E1FEBEA-1B72-48D1-A47D-2DE5D64252E1}">
            <xm:f>COUNTIF(Списки!$D$2:$D$17,)&gt;0</xm:f>
            <x14:dxf>
              <font>
                <color theme="0" tint="-0.34998626667073579"/>
              </font>
            </x14:dxf>
          </x14:cfRule>
          <xm:sqref>E433</xm:sqref>
        </x14:conditionalFormatting>
        <x14:conditionalFormatting xmlns:xm="http://schemas.microsoft.com/office/excel/2006/main">
          <x14:cfRule type="expression" priority="93" id="{DCDD2ADD-5F28-4453-AFD6-F8F9A5088FAD}">
            <xm:f>COUNTIF(Списки!$D$2:$D$17,)&gt;0</xm:f>
            <x14:dxf>
              <font>
                <color theme="0" tint="-0.34998626667073579"/>
              </font>
            </x14:dxf>
          </x14:cfRule>
          <xm:sqref>E435</xm:sqref>
        </x14:conditionalFormatting>
        <x14:conditionalFormatting xmlns:xm="http://schemas.microsoft.com/office/excel/2006/main">
          <x14:cfRule type="expression" priority="91" id="{0FF1D632-85CC-4093-9849-CE7B150C23A1}">
            <xm:f>COUNTIF(Списки!$D$2:$D$17,)&gt;0</xm:f>
            <x14:dxf>
              <font>
                <color theme="0" tint="-0.34998626667073579"/>
              </font>
            </x14:dxf>
          </x14:cfRule>
          <xm:sqref>E437</xm:sqref>
        </x14:conditionalFormatting>
        <x14:conditionalFormatting xmlns:xm="http://schemas.microsoft.com/office/excel/2006/main">
          <x14:cfRule type="expression" priority="89" id="{0D88FFEF-C423-4707-BDF9-6542D66846B7}">
            <xm:f>COUNTIF(Списки!$D$2:$D$17,)&gt;0</xm:f>
            <x14:dxf>
              <font>
                <color theme="0" tint="-0.34998626667073579"/>
              </font>
            </x14:dxf>
          </x14:cfRule>
          <xm:sqref>E439</xm:sqref>
        </x14:conditionalFormatting>
        <x14:conditionalFormatting xmlns:xm="http://schemas.microsoft.com/office/excel/2006/main">
          <x14:cfRule type="expression" priority="87" id="{2535B489-6808-4E10-BC5C-679379CC1C26}">
            <xm:f>COUNTIF(Списки!$D$2:$D$17,)&gt;0</xm:f>
            <x14:dxf>
              <font>
                <color theme="0" tint="-0.34998626667073579"/>
              </font>
            </x14:dxf>
          </x14:cfRule>
          <xm:sqref>E441</xm:sqref>
        </x14:conditionalFormatting>
        <x14:conditionalFormatting xmlns:xm="http://schemas.microsoft.com/office/excel/2006/main">
          <x14:cfRule type="expression" priority="85" id="{0AF9D9D7-821B-4BA0-A6AA-876CE6002F9B}">
            <xm:f>COUNTIF(Списки!$D$2:$D$17,)&gt;0</xm:f>
            <x14:dxf>
              <font>
                <color theme="0" tint="-0.34998626667073579"/>
              </font>
            </x14:dxf>
          </x14:cfRule>
          <xm:sqref>G440:G441</xm:sqref>
        </x14:conditionalFormatting>
        <x14:conditionalFormatting xmlns:xm="http://schemas.microsoft.com/office/excel/2006/main">
          <x14:cfRule type="expression" priority="83" id="{90CECD04-8C08-4478-90BC-22F258F7BB4E}">
            <xm:f>COUNTIF(Списки!$D$2:$D$17,)&gt;0</xm:f>
            <x14:dxf>
              <font>
                <color theme="0" tint="-0.34998626667073579"/>
              </font>
            </x14:dxf>
          </x14:cfRule>
          <xm:sqref>G438:G439</xm:sqref>
        </x14:conditionalFormatting>
        <x14:conditionalFormatting xmlns:xm="http://schemas.microsoft.com/office/excel/2006/main">
          <x14:cfRule type="expression" priority="81" id="{ACF9597A-D385-4000-92FF-87D5E50146FB}">
            <xm:f>COUNTIF(Списки!$D$2:$D$17,)&gt;0</xm:f>
            <x14:dxf>
              <font>
                <color theme="0" tint="-0.34998626667073579"/>
              </font>
            </x14:dxf>
          </x14:cfRule>
          <xm:sqref>G436:G437</xm:sqref>
        </x14:conditionalFormatting>
        <x14:conditionalFormatting xmlns:xm="http://schemas.microsoft.com/office/excel/2006/main">
          <x14:cfRule type="expression" priority="79" id="{4A4F05FC-D31A-4006-ADD7-3005989C2286}">
            <xm:f>COUNTIF(Списки!$D$2:$D$17,)&gt;0</xm:f>
            <x14:dxf>
              <font>
                <color theme="0" tint="-0.34998626667073579"/>
              </font>
            </x14:dxf>
          </x14:cfRule>
          <xm:sqref>G434:G435</xm:sqref>
        </x14:conditionalFormatting>
        <x14:conditionalFormatting xmlns:xm="http://schemas.microsoft.com/office/excel/2006/main">
          <x14:cfRule type="expression" priority="77" id="{5EAA858F-DD64-4E8F-9903-15F701B6F31A}">
            <xm:f>COUNTIF(Списки!$D$2:$D$17,)&gt;0</xm:f>
            <x14:dxf>
              <font>
                <color theme="0" tint="-0.34998626667073579"/>
              </font>
            </x14:dxf>
          </x14:cfRule>
          <xm:sqref>G432:G433</xm:sqref>
        </x14:conditionalFormatting>
        <x14:conditionalFormatting xmlns:xm="http://schemas.microsoft.com/office/excel/2006/main">
          <x14:cfRule type="expression" priority="75" id="{6143AEEF-6D17-4EA6-AB6F-396B51FCFB8A}">
            <xm:f>COUNTIF(Списки!$D$2:$D$17,)&gt;0</xm:f>
            <x14:dxf>
              <font>
                <color theme="0" tint="-0.34998626667073579"/>
              </font>
            </x14:dxf>
          </x14:cfRule>
          <xm:sqref>G430:G431</xm:sqref>
        </x14:conditionalFormatting>
        <x14:conditionalFormatting xmlns:xm="http://schemas.microsoft.com/office/excel/2006/main">
          <x14:cfRule type="expression" priority="71" id="{F8DB0C71-E5B9-4054-BD25-CD38AB03091C}">
            <xm:f>COUNTIF(Списки!$D$2:$D$17,)&gt;0</xm:f>
            <x14:dxf>
              <font>
                <color theme="0" tint="-0.34998626667073579"/>
              </font>
            </x14:dxf>
          </x14:cfRule>
          <xm:sqref>G426:G427</xm:sqref>
        </x14:conditionalFormatting>
        <x14:conditionalFormatting xmlns:xm="http://schemas.microsoft.com/office/excel/2006/main">
          <x14:cfRule type="expression" priority="69" id="{ABC48924-A155-4603-84EC-179D06B54B15}">
            <xm:f>COUNTIF(Списки!$D$2:$D$17,)&gt;0</xm:f>
            <x14:dxf>
              <font>
                <color theme="0" tint="-0.34998626667073579"/>
              </font>
            </x14:dxf>
          </x14:cfRule>
          <xm:sqref>G424:G425</xm:sqref>
        </x14:conditionalFormatting>
        <x14:conditionalFormatting xmlns:xm="http://schemas.microsoft.com/office/excel/2006/main">
          <x14:cfRule type="expression" priority="67" id="{03741054-5468-4AC1-80A8-C24047A20DFA}">
            <xm:f>COUNTIF(Списки!$D$2:$D$17,)&gt;0</xm:f>
            <x14:dxf>
              <font>
                <color theme="0" tint="-0.34998626667073579"/>
              </font>
            </x14:dxf>
          </x14:cfRule>
          <xm:sqref>G422:G423</xm:sqref>
        </x14:conditionalFormatting>
        <x14:conditionalFormatting xmlns:xm="http://schemas.microsoft.com/office/excel/2006/main">
          <x14:cfRule type="expression" priority="65" id="{025AA5E8-3D42-43CA-8E6C-4E145FB65462}">
            <xm:f>COUNTIF(Списки!$D$2:$D$17,)&gt;0</xm:f>
            <x14:dxf>
              <font>
                <color theme="0" tint="-0.34998626667073579"/>
              </font>
            </x14:dxf>
          </x14:cfRule>
          <xm:sqref>G420:G421</xm:sqref>
        </x14:conditionalFormatting>
        <x14:conditionalFormatting xmlns:xm="http://schemas.microsoft.com/office/excel/2006/main">
          <x14:cfRule type="expression" priority="63" id="{094FA985-B9DF-4FAC-B61E-0B5F005E49AD}">
            <xm:f>COUNTIF(Списки!$D$2:$D$17,)&gt;0</xm:f>
            <x14:dxf>
              <font>
                <color theme="0" tint="-0.34998626667073579"/>
              </font>
            </x14:dxf>
          </x14:cfRule>
          <xm:sqref>G416:G417</xm:sqref>
        </x14:conditionalFormatting>
        <x14:conditionalFormatting xmlns:xm="http://schemas.microsoft.com/office/excel/2006/main">
          <x14:cfRule type="expression" priority="61" id="{B68AA565-61F8-46AF-80C3-6F2C9165C4C8}">
            <xm:f>COUNTIF(Списки!$D$2:$D$17,)&gt;0</xm:f>
            <x14:dxf>
              <font>
                <color theme="0" tint="-0.34998626667073579"/>
              </font>
            </x14:dxf>
          </x14:cfRule>
          <xm:sqref>G414:G415</xm:sqref>
        </x14:conditionalFormatting>
        <x14:conditionalFormatting xmlns:xm="http://schemas.microsoft.com/office/excel/2006/main">
          <x14:cfRule type="expression" priority="59" id="{48559DF4-EE34-42ED-BB93-9D58702ACEE0}">
            <xm:f>COUNTIF(Списки!$D$2:$D$17,)&gt;0</xm:f>
            <x14:dxf>
              <font>
                <color theme="0" tint="-0.34998626667073579"/>
              </font>
            </x14:dxf>
          </x14:cfRule>
          <xm:sqref>G412:G413</xm:sqref>
        </x14:conditionalFormatting>
        <x14:conditionalFormatting xmlns:xm="http://schemas.microsoft.com/office/excel/2006/main">
          <x14:cfRule type="expression" priority="57" id="{38DBE7C8-E9F6-41EF-8763-3958A0C85770}">
            <xm:f>COUNTIF(Списки!$D$2:$D$17,)&gt;0</xm:f>
            <x14:dxf>
              <font>
                <color theme="0" tint="-0.34998626667073579"/>
              </font>
            </x14:dxf>
          </x14:cfRule>
          <xm:sqref>G428:G429</xm:sqref>
        </x14:conditionalFormatting>
        <x14:conditionalFormatting xmlns:xm="http://schemas.microsoft.com/office/excel/2006/main">
          <x14:cfRule type="expression" priority="55" id="{34CEBB81-5E13-402B-A045-F6DB4A3B1AF1}">
            <xm:f>COUNTIF(Списки!$D$2:$D$17,)&gt;0</xm:f>
            <x14:dxf>
              <font>
                <color theme="0" tint="-0.34998626667073579"/>
              </font>
            </x14:dxf>
          </x14:cfRule>
          <xm:sqref>G460:G461</xm:sqref>
        </x14:conditionalFormatting>
        <x14:conditionalFormatting xmlns:xm="http://schemas.microsoft.com/office/excel/2006/main">
          <x14:cfRule type="expression" priority="53" id="{0216A39C-C2C1-480B-8B61-E0F89DAB6912}">
            <xm:f>COUNTIF(Списки!$D$2:$D$17,)&gt;0</xm:f>
            <x14:dxf>
              <font>
                <color theme="0" tint="-0.34998626667073579"/>
              </font>
            </x14:dxf>
          </x14:cfRule>
          <xm:sqref>G466:G467</xm:sqref>
        </x14:conditionalFormatting>
        <x14:conditionalFormatting xmlns:xm="http://schemas.microsoft.com/office/excel/2006/main">
          <x14:cfRule type="expression" priority="51" id="{EA5180AF-D62D-423B-BD17-9A3FC1EB6CDD}">
            <xm:f>COUNTIF(Списки!$D$2:$D$17,)&gt;0</xm:f>
            <x14:dxf>
              <font>
                <color theme="0" tint="-0.34998626667073579"/>
              </font>
            </x14:dxf>
          </x14:cfRule>
          <xm:sqref>G486:G487</xm:sqref>
        </x14:conditionalFormatting>
        <x14:conditionalFormatting xmlns:xm="http://schemas.microsoft.com/office/excel/2006/main">
          <x14:cfRule type="expression" priority="49" id="{DD2C5317-92E6-48D2-8B73-1FCBDB8CCF3B}">
            <xm:f>COUNTIF(Списки!$D$2:$D$17,)&gt;0</xm:f>
            <x14:dxf>
              <font>
                <color theme="0" tint="-0.34998626667073579"/>
              </font>
            </x14:dxf>
          </x14:cfRule>
          <xm:sqref>G492:G493</xm:sqref>
        </x14:conditionalFormatting>
        <x14:conditionalFormatting xmlns:xm="http://schemas.microsoft.com/office/excel/2006/main">
          <x14:cfRule type="expression" priority="47" id="{D1202B70-3EE6-45D8-8467-432449A6CD0E}">
            <xm:f>COUNTIF(Списки!$D$2:$D$17,)&gt;0</xm:f>
            <x14:dxf>
              <font>
                <color theme="0" tint="-0.34998626667073579"/>
              </font>
            </x14:dxf>
          </x14:cfRule>
          <xm:sqref>G496:G497</xm:sqref>
        </x14:conditionalFormatting>
        <x14:conditionalFormatting xmlns:xm="http://schemas.microsoft.com/office/excel/2006/main">
          <x14:cfRule type="expression" priority="45" id="{0370ADAD-AC21-4B2E-B3B6-0A58142B17C8}">
            <xm:f>COUNTIF(Списки!$D$2:$D$17,$A$477)&gt;0</xm:f>
            <x14:dxf>
              <font>
                <color theme="0" tint="-0.34998626667073579"/>
              </font>
            </x14:dxf>
          </x14:cfRule>
          <xm:sqref>H564:H567</xm:sqref>
        </x14:conditionalFormatting>
        <x14:conditionalFormatting xmlns:xm="http://schemas.microsoft.com/office/excel/2006/main">
          <x14:cfRule type="expression" priority="43" id="{11AFCDFA-9DFA-4CB6-B26B-22A0A852884E}">
            <xm:f>COUNTIF(Списки!$D$2:$D$17,$A$647)&gt;0</xm:f>
            <x14:dxf>
              <font>
                <color theme="0" tint="-0.34998626667073579"/>
              </font>
            </x14:dxf>
          </x14:cfRule>
          <xm:sqref>E730</xm:sqref>
        </x14:conditionalFormatting>
        <x14:conditionalFormatting xmlns:xm="http://schemas.microsoft.com/office/excel/2006/main">
          <x14:cfRule type="expression" priority="41" id="{9A7F72D1-E027-4396-9AA3-01FE87DEAC68}">
            <xm:f>COUNTIF(Списки!$D$2:$D$17,$A$647)&gt;0</xm:f>
            <x14:dxf>
              <font>
                <color theme="0" tint="-0.34998626667073579"/>
              </font>
            </x14:dxf>
          </x14:cfRule>
          <xm:sqref>C732</xm:sqref>
        </x14:conditionalFormatting>
        <x14:conditionalFormatting xmlns:xm="http://schemas.microsoft.com/office/excel/2006/main">
          <x14:cfRule type="expression" priority="39" id="{8748CAB7-8086-4A58-9CCF-9704EFEC507F}">
            <xm:f>COUNTIF(Списки!$D$2:$D$17,$A$681)&gt;0</xm:f>
            <x14:dxf>
              <font>
                <color theme="0" tint="-0.34998626667073579"/>
              </font>
            </x14:dxf>
          </x14:cfRule>
          <xm:sqref>G654:G655</xm:sqref>
        </x14:conditionalFormatting>
        <x14:conditionalFormatting xmlns:xm="http://schemas.microsoft.com/office/excel/2006/main">
          <x14:cfRule type="expression" priority="35" id="{2CC96640-3643-47CD-A810-63FC8F4B5E7D}">
            <xm:f>COUNTIF(Списки!$D$2:$D$17,$A$647)&gt;0</xm:f>
            <x14:dxf>
              <font>
                <color theme="0" tint="-0.34998626667073579"/>
              </font>
            </x14:dxf>
          </x14:cfRule>
          <xm:sqref>G730:G731</xm:sqref>
        </x14:conditionalFormatting>
        <x14:conditionalFormatting xmlns:xm="http://schemas.microsoft.com/office/excel/2006/main">
          <x14:cfRule type="expression" priority="33" id="{8ABAB49D-0BEE-42B2-B0AF-0E6E8F7CEA61}">
            <xm:f>COUNTIF(Списки!$D$2:$D$17,$A$681)&gt;0</xm:f>
            <x14:dxf>
              <font>
                <color theme="0" tint="-0.34998626667073579"/>
              </font>
            </x14:dxf>
          </x14:cfRule>
          <xm:sqref>G698</xm:sqref>
        </x14:conditionalFormatting>
        <x14:conditionalFormatting xmlns:xm="http://schemas.microsoft.com/office/excel/2006/main">
          <x14:cfRule type="expression" priority="29" id="{FCACC8EA-6DD1-4FF9-9EFF-0F7B2E6B37D1}">
            <xm:f>COUNTIF(Списки!$D$2:$D$17,$A$681)&gt;0</xm:f>
            <x14:dxf>
              <font>
                <color theme="0" tint="-0.34998626667073579"/>
              </font>
            </x14:dxf>
          </x14:cfRule>
          <xm:sqref>G700</xm:sqref>
        </x14:conditionalFormatting>
        <x14:conditionalFormatting xmlns:xm="http://schemas.microsoft.com/office/excel/2006/main">
          <x14:cfRule type="expression" priority="27" id="{98587B6D-8849-4AFB-BD83-63E28964DCA7}">
            <xm:f>COUNTIF(Списки!$D$2:$D$17,$A$647)&gt;0</xm:f>
            <x14:dxf>
              <font>
                <color theme="0" tint="-0.34998626667073579"/>
              </font>
            </x14:dxf>
          </x14:cfRule>
          <xm:sqref>G694:G695</xm:sqref>
        </x14:conditionalFormatting>
        <x14:conditionalFormatting xmlns:xm="http://schemas.microsoft.com/office/excel/2006/main">
          <x14:cfRule type="expression" priority="25" id="{6D1C8454-F63B-4448-A4B2-432915DDA4A1}">
            <xm:f>COUNTIF(Списки!$D$2:$D$17,$A$681)&gt;0</xm:f>
            <x14:dxf>
              <font>
                <color theme="0" tint="-0.34998626667073579"/>
              </font>
            </x14:dxf>
          </x14:cfRule>
          <xm:sqref>G692:G693</xm:sqref>
        </x14:conditionalFormatting>
        <x14:conditionalFormatting xmlns:xm="http://schemas.microsoft.com/office/excel/2006/main">
          <x14:cfRule type="expression" priority="23" id="{B07AB75B-CC99-4575-A10A-10CFB197407F}">
            <xm:f>COUNTIF(Списки!$D$2:$D$17,$A$647)&gt;0</xm:f>
            <x14:dxf>
              <font>
                <color theme="0" tint="-0.34998626667073579"/>
              </font>
            </x14:dxf>
          </x14:cfRule>
          <xm:sqref>G692:G693</xm:sqref>
        </x14:conditionalFormatting>
        <x14:conditionalFormatting xmlns:xm="http://schemas.microsoft.com/office/excel/2006/main">
          <x14:cfRule type="expression" priority="21" id="{DE2C1227-6D6A-4BB0-B682-394E3D85B1C6}">
            <xm:f>COUNTIF(Списки!$D$2:$D$17,$A$681)&gt;0</xm:f>
            <x14:dxf>
              <font>
                <color theme="0" tint="-0.34998626667073579"/>
              </font>
            </x14:dxf>
          </x14:cfRule>
          <xm:sqref>H654:H655</xm:sqref>
        </x14:conditionalFormatting>
        <x14:conditionalFormatting xmlns:xm="http://schemas.microsoft.com/office/excel/2006/main">
          <x14:cfRule type="expression" priority="19" id="{12C1FD02-C8A1-4DD5-8BE0-755B258A16C9}">
            <xm:f>COUNTIF(Списки!$D$2:$D$17,$A$647)&gt;0</xm:f>
            <x14:dxf>
              <font>
                <color theme="0" tint="-0.34998626667073579"/>
              </font>
            </x14:dxf>
          </x14:cfRule>
          <xm:sqref>E728</xm:sqref>
        </x14:conditionalFormatting>
        <x14:conditionalFormatting xmlns:xm="http://schemas.microsoft.com/office/excel/2006/main">
          <x14:cfRule type="expression" priority="17" id="{663ADFAE-DD7B-49A2-84A1-771E0D6B8E67}">
            <xm:f>COUNTIF(Списки!$D$2:$D$17,$A$647)&gt;0</xm:f>
            <x14:dxf>
              <font>
                <color theme="0" tint="-0.34998626667073579"/>
              </font>
            </x14:dxf>
          </x14:cfRule>
          <xm:sqref>C730</xm:sqref>
        </x14:conditionalFormatting>
        <x14:conditionalFormatting xmlns:xm="http://schemas.microsoft.com/office/excel/2006/main">
          <x14:cfRule type="expression" priority="15" id="{37CD0608-22DB-4351-8020-0FF2714A9CF3}">
            <xm:f>COUNTIF(Списки!$D$2:$D$17,$A$681)&gt;0</xm:f>
            <x14:dxf>
              <font>
                <color theme="0" tint="-0.34998626667073579"/>
              </font>
            </x14:dxf>
          </x14:cfRule>
          <xm:sqref>G722:G723</xm:sqref>
        </x14:conditionalFormatting>
        <x14:conditionalFormatting xmlns:xm="http://schemas.microsoft.com/office/excel/2006/main">
          <x14:cfRule type="expression" priority="13" id="{C5DF3CFC-09BF-4197-95CF-876F6972DC50}">
            <xm:f>COUNTIF(Списки!$D$2:$D$17,$A$647)&gt;0</xm:f>
            <x14:dxf>
              <font>
                <color theme="0" tint="-0.34998626667073579"/>
              </font>
            </x14:dxf>
          </x14:cfRule>
          <xm:sqref>G728:G729</xm:sqref>
        </x14:conditionalFormatting>
        <x14:conditionalFormatting xmlns:xm="http://schemas.microsoft.com/office/excel/2006/main">
          <x14:cfRule type="expression" priority="11" id="{D94E33DD-0F37-45C9-BE26-F0E9A27865FF}">
            <xm:f>COUNTIF(Списки!$D$2:$D$17,$A$681)&gt;0</xm:f>
            <x14:dxf>
              <font>
                <color theme="0" tint="-0.34998626667073579"/>
              </font>
            </x14:dxf>
          </x14:cfRule>
          <xm:sqref>G724:G725</xm:sqref>
        </x14:conditionalFormatting>
        <x14:conditionalFormatting xmlns:xm="http://schemas.microsoft.com/office/excel/2006/main">
          <x14:cfRule type="expression" priority="9" id="{A2B4BBE1-FBFA-4D3F-ABA4-BAC363DDA06C}">
            <xm:f>COUNTIF(Списки!$D$2:$D$17,$A$647)&gt;0</xm:f>
            <x14:dxf>
              <font>
                <color theme="0" tint="-0.34998626667073579"/>
              </font>
            </x14:dxf>
          </x14:cfRule>
          <xm:sqref>G724:G725</xm:sqref>
        </x14:conditionalFormatting>
        <x14:conditionalFormatting xmlns:xm="http://schemas.microsoft.com/office/excel/2006/main">
          <x14:cfRule type="expression" priority="7" id="{AD31887D-D746-48C9-BAFA-B3DA66058815}">
            <xm:f>COUNTIF(Списки!$D$2:$D$17,$A$681)&gt;0</xm:f>
            <x14:dxf>
              <font>
                <color theme="0" tint="-0.34998626667073579"/>
              </font>
            </x14:dxf>
          </x14:cfRule>
          <xm:sqref>B728:B729</xm:sqref>
        </x14:conditionalFormatting>
        <x14:conditionalFormatting xmlns:xm="http://schemas.microsoft.com/office/excel/2006/main">
          <x14:cfRule type="expression" priority="5" id="{F18AF341-DEAA-47A6-A955-9A8F4714BF6B}">
            <xm:f>COUNTIF(Списки!$D$2:$D$17,$A$681)&gt;0</xm:f>
            <x14:dxf>
              <font>
                <color theme="0" tint="-0.34998626667073579"/>
              </font>
            </x14:dxf>
          </x14:cfRule>
          <xm:sqref>B658:B659</xm:sqref>
        </x14:conditionalFormatting>
        <x14:conditionalFormatting xmlns:xm="http://schemas.microsoft.com/office/excel/2006/main">
          <x14:cfRule type="expression" priority="3" id="{7BD1B6AA-4BEE-4AA6-99CB-B6D408A2E31E}">
            <xm:f>COUNTIF(Списки!$D$2:$D$17,$A$545)&gt;0</xm:f>
            <x14:dxf>
              <font>
                <color theme="0" tint="-0.34998626667073579"/>
              </font>
            </x14:dxf>
          </x14:cfRule>
          <xm:sqref>E925</xm:sqref>
        </x14:conditionalFormatting>
        <x14:conditionalFormatting xmlns:xm="http://schemas.microsoft.com/office/excel/2006/main">
          <x14:cfRule type="expression" priority="1" id="{418B9E1B-6003-4633-A709-A7DEC7F04961}">
            <xm:f>COUNTIF(Списки!$D$2:$D$17,$A$545)&gt;0</xm:f>
            <x14:dxf>
              <font>
                <color theme="0" tint="-0.34998626667073579"/>
              </font>
            </x14:dxf>
          </x14:cfRule>
          <xm:sqref>C927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4">
    <tabColor indexed="50"/>
  </sheetPr>
  <dimension ref="A1:T113"/>
  <sheetViews>
    <sheetView zoomScale="85" zoomScaleNormal="85" workbookViewId="0">
      <selection activeCell="A21" sqref="A21:F26"/>
    </sheetView>
  </sheetViews>
  <sheetFormatPr defaultRowHeight="15" x14ac:dyDescent="0.25"/>
  <cols>
    <col min="1" max="1" width="26.42578125" customWidth="1"/>
    <col min="3" max="3" width="25" customWidth="1"/>
    <col min="5" max="5" width="22.85546875" customWidth="1"/>
    <col min="7" max="7" width="3.7109375" customWidth="1"/>
    <col min="8" max="8" width="26.42578125" customWidth="1"/>
    <col min="10" max="10" width="25" customWidth="1"/>
    <col min="12" max="12" width="22.85546875" customWidth="1"/>
    <col min="14" max="14" width="4.42578125" customWidth="1"/>
    <col min="15" max="15" width="26.42578125" customWidth="1"/>
    <col min="17" max="17" width="25" customWidth="1"/>
    <col min="19" max="19" width="22.85546875" customWidth="1"/>
  </cols>
  <sheetData>
    <row r="1" spans="1:20" x14ac:dyDescent="0.25">
      <c r="A1" s="339" t="s">
        <v>28</v>
      </c>
      <c r="B1" s="339"/>
      <c r="C1" s="339"/>
      <c r="D1" s="339"/>
      <c r="E1" s="339"/>
      <c r="F1" s="339"/>
      <c r="H1" s="341" t="s">
        <v>29</v>
      </c>
      <c r="I1" s="341"/>
      <c r="J1" s="341"/>
      <c r="K1" s="341"/>
      <c r="L1" s="341"/>
      <c r="M1" s="341"/>
      <c r="O1" s="345" t="s">
        <v>32</v>
      </c>
      <c r="P1" s="345"/>
      <c r="Q1" s="345"/>
      <c r="R1" s="345"/>
      <c r="S1" s="345"/>
      <c r="T1" s="345"/>
    </row>
    <row r="2" spans="1:20" x14ac:dyDescent="0.25">
      <c r="A2" s="340"/>
      <c r="B2" s="340"/>
      <c r="C2" s="340"/>
      <c r="D2" s="340"/>
      <c r="E2" s="340"/>
      <c r="F2" s="340"/>
      <c r="H2" s="342"/>
      <c r="I2" s="342"/>
      <c r="J2" s="342"/>
      <c r="K2" s="342"/>
      <c r="L2" s="342"/>
      <c r="M2" s="342"/>
      <c r="O2" s="346"/>
      <c r="P2" s="346"/>
      <c r="Q2" s="346"/>
      <c r="R2" s="346"/>
      <c r="S2" s="346"/>
      <c r="T2" s="346"/>
    </row>
    <row r="3" spans="1:20" ht="13.5" customHeight="1" x14ac:dyDescent="0.25">
      <c r="A3" s="335" t="s">
        <v>76</v>
      </c>
      <c r="B3" s="335"/>
      <c r="C3" s="335"/>
      <c r="D3" s="335"/>
      <c r="E3" s="335"/>
      <c r="F3" s="335"/>
      <c r="H3" s="23" t="s">
        <v>44</v>
      </c>
      <c r="I3" s="334">
        <v>0.70833333333333337</v>
      </c>
      <c r="J3" s="23" t="s">
        <v>63</v>
      </c>
      <c r="K3" s="334">
        <v>0.72222222222222221</v>
      </c>
      <c r="L3" s="330"/>
      <c r="M3" s="330">
        <v>11</v>
      </c>
      <c r="O3" s="22" t="s">
        <v>44</v>
      </c>
      <c r="P3" s="332"/>
      <c r="Q3" s="22" t="s">
        <v>74</v>
      </c>
      <c r="R3" s="332"/>
      <c r="S3" s="336"/>
      <c r="T3" s="336">
        <v>27</v>
      </c>
    </row>
    <row r="4" spans="1:20" ht="13.5" customHeight="1" x14ac:dyDescent="0.25">
      <c r="A4" s="22" t="s">
        <v>43</v>
      </c>
      <c r="B4" s="343">
        <v>0.2638888888888889</v>
      </c>
      <c r="C4" s="22" t="s">
        <v>56</v>
      </c>
      <c r="D4" s="343">
        <v>0.27777777777777779</v>
      </c>
      <c r="E4" s="344"/>
      <c r="F4" s="344">
        <v>11</v>
      </c>
      <c r="H4" s="24" t="s">
        <v>49</v>
      </c>
      <c r="I4" s="331"/>
      <c r="J4" s="24" t="s">
        <v>62</v>
      </c>
      <c r="K4" s="331"/>
      <c r="L4" s="331"/>
      <c r="M4" s="331"/>
      <c r="O4" s="21" t="s">
        <v>49</v>
      </c>
      <c r="P4" s="333"/>
      <c r="Q4" s="21" t="s">
        <v>75</v>
      </c>
      <c r="R4" s="333"/>
      <c r="S4" s="337"/>
      <c r="T4" s="337"/>
    </row>
    <row r="5" spans="1:20" ht="13.5" customHeight="1" x14ac:dyDescent="0.25">
      <c r="A5" s="21" t="s">
        <v>301</v>
      </c>
      <c r="B5" s="333"/>
      <c r="C5" s="20" t="s">
        <v>299</v>
      </c>
      <c r="D5" s="333"/>
      <c r="E5" s="337"/>
      <c r="F5" s="337"/>
      <c r="H5" s="23" t="s">
        <v>63</v>
      </c>
      <c r="I5" s="334">
        <v>0.80555555555555547</v>
      </c>
      <c r="J5" s="23" t="s">
        <v>64</v>
      </c>
      <c r="K5" s="334">
        <v>0.82638888888888884</v>
      </c>
      <c r="L5" s="330"/>
      <c r="M5" s="330">
        <v>13</v>
      </c>
      <c r="O5" s="22" t="s">
        <v>74</v>
      </c>
      <c r="P5" s="332"/>
      <c r="Q5" s="22" t="s">
        <v>44</v>
      </c>
      <c r="R5" s="332"/>
      <c r="S5" s="336"/>
      <c r="T5" s="336">
        <v>28</v>
      </c>
    </row>
    <row r="6" spans="1:20" ht="13.5" customHeight="1" x14ac:dyDescent="0.25">
      <c r="A6" s="22" t="s">
        <v>56</v>
      </c>
      <c r="B6" s="332">
        <v>0.27777777777777779</v>
      </c>
      <c r="C6" s="22" t="s">
        <v>44</v>
      </c>
      <c r="D6" s="332"/>
      <c r="E6" s="336"/>
      <c r="F6" s="336">
        <v>22</v>
      </c>
      <c r="H6" s="24" t="s">
        <v>62</v>
      </c>
      <c r="I6" s="331"/>
      <c r="J6" s="24" t="s">
        <v>54</v>
      </c>
      <c r="K6" s="331"/>
      <c r="L6" s="331"/>
      <c r="M6" s="331"/>
      <c r="O6" s="21" t="s">
        <v>75</v>
      </c>
      <c r="P6" s="333"/>
      <c r="Q6" s="21" t="s">
        <v>49</v>
      </c>
      <c r="R6" s="333"/>
      <c r="S6" s="337"/>
      <c r="T6" s="337"/>
    </row>
    <row r="7" spans="1:20" ht="13.5" customHeight="1" x14ac:dyDescent="0.25">
      <c r="A7" s="162" t="s">
        <v>299</v>
      </c>
      <c r="B7" s="333"/>
      <c r="C7" s="21" t="s">
        <v>297</v>
      </c>
      <c r="D7" s="333"/>
      <c r="E7" s="337"/>
      <c r="F7" s="337"/>
      <c r="H7" s="23" t="s">
        <v>64</v>
      </c>
      <c r="I7" s="334">
        <v>0.82638888888888884</v>
      </c>
      <c r="J7" s="23" t="s">
        <v>45</v>
      </c>
      <c r="K7" s="334">
        <v>0.84027777777777779</v>
      </c>
      <c r="L7" s="330"/>
      <c r="M7" s="330">
        <v>7</v>
      </c>
      <c r="O7" s="22" t="s">
        <v>74</v>
      </c>
      <c r="P7" s="332"/>
      <c r="Q7" s="22" t="s">
        <v>72</v>
      </c>
      <c r="R7" s="332"/>
      <c r="S7" s="336"/>
      <c r="T7" s="336">
        <v>15</v>
      </c>
    </row>
    <row r="8" spans="1:20" ht="13.5" customHeight="1" x14ac:dyDescent="0.25">
      <c r="A8" s="338" t="s">
        <v>77</v>
      </c>
      <c r="B8" s="338"/>
      <c r="C8" s="338"/>
      <c r="D8" s="338"/>
      <c r="E8" s="338"/>
      <c r="F8" s="338"/>
      <c r="H8" s="24" t="s">
        <v>54</v>
      </c>
      <c r="I8" s="331"/>
      <c r="J8" s="24" t="s">
        <v>46</v>
      </c>
      <c r="K8" s="331"/>
      <c r="L8" s="331"/>
      <c r="M8" s="331"/>
      <c r="O8" s="21" t="s">
        <v>75</v>
      </c>
      <c r="P8" s="333"/>
      <c r="Q8" s="21" t="s">
        <v>73</v>
      </c>
      <c r="R8" s="333"/>
      <c r="S8" s="337"/>
      <c r="T8" s="337"/>
    </row>
    <row r="9" spans="1:20" ht="13.5" customHeight="1" x14ac:dyDescent="0.25">
      <c r="A9" s="22" t="s">
        <v>43</v>
      </c>
      <c r="B9" s="332">
        <v>0.2638888888888889</v>
      </c>
      <c r="C9" s="22" t="s">
        <v>58</v>
      </c>
      <c r="D9" s="332">
        <v>0.27777777777777779</v>
      </c>
      <c r="E9" s="336"/>
      <c r="F9" s="336">
        <v>10</v>
      </c>
      <c r="H9" s="25"/>
      <c r="I9" s="25"/>
      <c r="J9" s="25"/>
      <c r="K9" s="25"/>
      <c r="L9" s="25"/>
      <c r="M9" s="25"/>
      <c r="O9" s="22" t="s">
        <v>72</v>
      </c>
      <c r="P9" s="332"/>
      <c r="Q9" s="22" t="s">
        <v>74</v>
      </c>
      <c r="R9" s="332"/>
      <c r="S9" s="336"/>
      <c r="T9" s="336">
        <v>16</v>
      </c>
    </row>
    <row r="10" spans="1:20" ht="13.5" customHeight="1" x14ac:dyDescent="0.25">
      <c r="A10" s="161" t="s">
        <v>301</v>
      </c>
      <c r="B10" s="333"/>
      <c r="C10" s="21" t="s">
        <v>300</v>
      </c>
      <c r="D10" s="333"/>
      <c r="E10" s="337"/>
      <c r="F10" s="337"/>
      <c r="H10" s="22" t="s">
        <v>44</v>
      </c>
      <c r="I10" s="332">
        <v>0.70833333333333337</v>
      </c>
      <c r="J10" s="22" t="s">
        <v>65</v>
      </c>
      <c r="K10" s="332">
        <v>0.72916666666666663</v>
      </c>
      <c r="L10" s="336"/>
      <c r="M10" s="336">
        <v>17</v>
      </c>
      <c r="O10" s="21" t="s">
        <v>73</v>
      </c>
      <c r="P10" s="333"/>
      <c r="Q10" s="21" t="s">
        <v>75</v>
      </c>
      <c r="R10" s="333"/>
      <c r="S10" s="337"/>
      <c r="T10" s="337"/>
    </row>
    <row r="11" spans="1:20" ht="13.5" customHeight="1" x14ac:dyDescent="0.25">
      <c r="A11" s="22" t="s">
        <v>58</v>
      </c>
      <c r="B11" s="332">
        <v>0.27777777777777779</v>
      </c>
      <c r="C11" s="22" t="s">
        <v>44</v>
      </c>
      <c r="D11" s="332"/>
      <c r="E11" s="336"/>
      <c r="F11" s="336">
        <v>23</v>
      </c>
      <c r="H11" s="21" t="s">
        <v>49</v>
      </c>
      <c r="I11" s="337"/>
      <c r="J11" s="21" t="s">
        <v>66</v>
      </c>
      <c r="K11" s="337"/>
      <c r="L11" s="337"/>
      <c r="M11" s="337"/>
      <c r="O11" s="22" t="s">
        <v>44</v>
      </c>
      <c r="P11" s="332"/>
      <c r="Q11" s="22" t="s">
        <v>72</v>
      </c>
      <c r="R11" s="332"/>
      <c r="S11" s="336"/>
      <c r="T11" s="336">
        <v>16</v>
      </c>
    </row>
    <row r="12" spans="1:20" ht="13.5" customHeight="1" x14ac:dyDescent="0.25">
      <c r="A12" s="161" t="s">
        <v>300</v>
      </c>
      <c r="B12" s="333"/>
      <c r="C12" s="161" t="s">
        <v>297</v>
      </c>
      <c r="D12" s="333"/>
      <c r="E12" s="337"/>
      <c r="F12" s="337"/>
      <c r="H12" s="22" t="s">
        <v>65</v>
      </c>
      <c r="I12" s="332">
        <v>0.8125</v>
      </c>
      <c r="J12" s="22" t="s">
        <v>64</v>
      </c>
      <c r="K12" s="332">
        <v>0.83333333333333337</v>
      </c>
      <c r="L12" s="336"/>
      <c r="M12" s="336">
        <v>6</v>
      </c>
      <c r="O12" s="21" t="s">
        <v>49</v>
      </c>
      <c r="P12" s="333"/>
      <c r="Q12" s="21" t="s">
        <v>73</v>
      </c>
      <c r="R12" s="333"/>
      <c r="S12" s="337"/>
      <c r="T12" s="337"/>
    </row>
    <row r="13" spans="1:20" ht="13.5" customHeight="1" x14ac:dyDescent="0.25">
      <c r="A13" s="338" t="s">
        <v>78</v>
      </c>
      <c r="B13" s="338"/>
      <c r="C13" s="338"/>
      <c r="D13" s="338"/>
      <c r="E13" s="338"/>
      <c r="F13" s="338"/>
      <c r="H13" s="21" t="s">
        <v>66</v>
      </c>
      <c r="I13" s="337"/>
      <c r="J13" s="21" t="s">
        <v>54</v>
      </c>
      <c r="K13" s="337"/>
      <c r="L13" s="337"/>
      <c r="M13" s="337"/>
      <c r="O13" s="22" t="s">
        <v>72</v>
      </c>
      <c r="P13" s="332"/>
      <c r="Q13" s="22" t="s">
        <v>44</v>
      </c>
      <c r="R13" s="332"/>
      <c r="S13" s="336"/>
      <c r="T13" s="336">
        <v>18</v>
      </c>
    </row>
    <row r="14" spans="1:20" ht="13.5" customHeight="1" x14ac:dyDescent="0.25">
      <c r="A14" s="22" t="s">
        <v>43</v>
      </c>
      <c r="B14" s="332">
        <v>0.2638888888888889</v>
      </c>
      <c r="C14" s="22" t="s">
        <v>56</v>
      </c>
      <c r="D14" s="332">
        <v>0.27777777777777779</v>
      </c>
      <c r="E14" s="336"/>
      <c r="F14" s="336">
        <v>11</v>
      </c>
      <c r="H14" s="22" t="s">
        <v>64</v>
      </c>
      <c r="I14" s="332">
        <v>0.83333333333333337</v>
      </c>
      <c r="J14" s="22" t="s">
        <v>45</v>
      </c>
      <c r="K14" s="332">
        <v>0.84722222222222221</v>
      </c>
      <c r="L14" s="336"/>
      <c r="M14" s="336">
        <v>7</v>
      </c>
      <c r="O14" s="21" t="s">
        <v>73</v>
      </c>
      <c r="P14" s="333"/>
      <c r="Q14" s="21" t="s">
        <v>49</v>
      </c>
      <c r="R14" s="333"/>
      <c r="S14" s="337"/>
      <c r="T14" s="337"/>
    </row>
    <row r="15" spans="1:20" ht="13.5" customHeight="1" x14ac:dyDescent="0.25">
      <c r="A15" s="161" t="s">
        <v>301</v>
      </c>
      <c r="B15" s="333"/>
      <c r="C15" s="162" t="s">
        <v>299</v>
      </c>
      <c r="D15" s="333"/>
      <c r="E15" s="337"/>
      <c r="F15" s="337"/>
      <c r="H15" s="21" t="s">
        <v>54</v>
      </c>
      <c r="I15" s="337"/>
      <c r="J15" s="21" t="s">
        <v>46</v>
      </c>
      <c r="K15" s="337"/>
      <c r="L15" s="337"/>
      <c r="M15" s="337"/>
      <c r="O15" s="22" t="s">
        <v>44</v>
      </c>
      <c r="P15" s="336"/>
      <c r="Q15" s="20" t="s">
        <v>5</v>
      </c>
      <c r="R15" s="332"/>
      <c r="S15" s="336"/>
      <c r="T15" s="336">
        <v>36</v>
      </c>
    </row>
    <row r="16" spans="1:20" ht="13.5" customHeight="1" x14ac:dyDescent="0.25">
      <c r="A16" s="22" t="s">
        <v>56</v>
      </c>
      <c r="B16" s="332">
        <v>0.27777777777777779</v>
      </c>
      <c r="C16" s="22" t="s">
        <v>58</v>
      </c>
      <c r="D16" s="332">
        <v>0.28472222222222221</v>
      </c>
      <c r="E16" s="336"/>
      <c r="F16" s="336">
        <v>3</v>
      </c>
      <c r="H16" s="25"/>
      <c r="I16" s="25"/>
      <c r="J16" s="25"/>
      <c r="K16" s="25"/>
      <c r="L16" s="25"/>
      <c r="M16" s="25"/>
      <c r="O16" s="21" t="s">
        <v>49</v>
      </c>
      <c r="P16" s="337"/>
      <c r="Q16" s="21" t="s">
        <v>50</v>
      </c>
      <c r="R16" s="333"/>
      <c r="S16" s="337"/>
      <c r="T16" s="337"/>
    </row>
    <row r="17" spans="1:20" ht="13.5" customHeight="1" x14ac:dyDescent="0.25">
      <c r="A17" s="162" t="s">
        <v>299</v>
      </c>
      <c r="B17" s="333"/>
      <c r="C17" s="161" t="s">
        <v>300</v>
      </c>
      <c r="D17" s="333"/>
      <c r="E17" s="337"/>
      <c r="F17" s="337"/>
      <c r="H17" s="22" t="s">
        <v>44</v>
      </c>
      <c r="I17" s="332">
        <v>0.72222222222222221</v>
      </c>
      <c r="J17" s="22" t="s">
        <v>53</v>
      </c>
      <c r="K17" s="332">
        <v>0.74305555555555547</v>
      </c>
      <c r="L17" s="336"/>
      <c r="M17" s="336">
        <v>14</v>
      </c>
      <c r="O17" s="20" t="s">
        <v>5</v>
      </c>
      <c r="P17" s="336"/>
      <c r="Q17" s="22" t="s">
        <v>44</v>
      </c>
      <c r="R17" s="332"/>
      <c r="S17" s="336"/>
      <c r="T17" s="336">
        <v>35</v>
      </c>
    </row>
    <row r="18" spans="1:20" ht="13.5" customHeight="1" x14ac:dyDescent="0.25">
      <c r="A18" s="22" t="s">
        <v>58</v>
      </c>
      <c r="B18" s="332">
        <v>0.28472222222222221</v>
      </c>
      <c r="C18" s="22" t="s">
        <v>44</v>
      </c>
      <c r="D18" s="332"/>
      <c r="E18" s="336"/>
      <c r="F18" s="336">
        <v>23</v>
      </c>
      <c r="H18" s="21" t="s">
        <v>49</v>
      </c>
      <c r="I18" s="337"/>
      <c r="J18" s="26" t="s">
        <v>55</v>
      </c>
      <c r="K18" s="337"/>
      <c r="L18" s="337"/>
      <c r="M18" s="337"/>
      <c r="O18" s="21" t="s">
        <v>50</v>
      </c>
      <c r="P18" s="337"/>
      <c r="Q18" s="21" t="s">
        <v>49</v>
      </c>
      <c r="R18" s="333"/>
      <c r="S18" s="337"/>
      <c r="T18" s="337"/>
    </row>
    <row r="19" spans="1:20" ht="13.5" customHeight="1" x14ac:dyDescent="0.25">
      <c r="A19" s="161" t="s">
        <v>300</v>
      </c>
      <c r="B19" s="333"/>
      <c r="C19" s="161" t="s">
        <v>297</v>
      </c>
      <c r="D19" s="333"/>
      <c r="E19" s="337"/>
      <c r="F19" s="337"/>
      <c r="H19" s="22" t="s">
        <v>53</v>
      </c>
      <c r="I19" s="332">
        <v>0.84027777777777779</v>
      </c>
      <c r="J19" s="22" t="s">
        <v>64</v>
      </c>
      <c r="K19" s="332">
        <v>0.84722222222222221</v>
      </c>
      <c r="L19" s="336"/>
      <c r="M19" s="336">
        <v>2</v>
      </c>
      <c r="O19" s="22" t="s">
        <v>44</v>
      </c>
      <c r="P19" s="336"/>
      <c r="Q19" s="22" t="s">
        <v>71</v>
      </c>
      <c r="R19" s="332"/>
      <c r="S19" s="336"/>
      <c r="T19" s="336">
        <v>30</v>
      </c>
    </row>
    <row r="20" spans="1:20" ht="13.5" customHeight="1" x14ac:dyDescent="0.25">
      <c r="A20" s="338" t="s">
        <v>123</v>
      </c>
      <c r="B20" s="338"/>
      <c r="C20" s="338"/>
      <c r="D20" s="338"/>
      <c r="E20" s="338"/>
      <c r="F20" s="338"/>
      <c r="H20" s="27" t="s">
        <v>55</v>
      </c>
      <c r="I20" s="337"/>
      <c r="J20" s="21" t="s">
        <v>54</v>
      </c>
      <c r="K20" s="337"/>
      <c r="L20" s="337"/>
      <c r="M20" s="337"/>
      <c r="O20" s="21" t="s">
        <v>49</v>
      </c>
      <c r="P20" s="337"/>
      <c r="Q20" s="21" t="s">
        <v>70</v>
      </c>
      <c r="R20" s="333"/>
      <c r="S20" s="337"/>
      <c r="T20" s="337"/>
    </row>
    <row r="21" spans="1:20" ht="13.5" customHeight="1" x14ac:dyDescent="0.25">
      <c r="A21" s="22" t="s">
        <v>43</v>
      </c>
      <c r="B21" s="332">
        <v>0.2638888888888889</v>
      </c>
      <c r="C21" s="22" t="s">
        <v>56</v>
      </c>
      <c r="D21" s="332">
        <v>0.27777777777777779</v>
      </c>
      <c r="E21" s="336"/>
      <c r="F21" s="336">
        <v>11</v>
      </c>
      <c r="H21" s="22" t="s">
        <v>64</v>
      </c>
      <c r="I21" s="332">
        <v>0.84722222222222221</v>
      </c>
      <c r="J21" s="22" t="s">
        <v>45</v>
      </c>
      <c r="K21" s="332">
        <v>0.86111111111111116</v>
      </c>
      <c r="L21" s="336"/>
      <c r="M21" s="336">
        <v>7</v>
      </c>
      <c r="O21" s="22" t="s">
        <v>71</v>
      </c>
      <c r="P21" s="336"/>
      <c r="Q21" s="22" t="s">
        <v>44</v>
      </c>
      <c r="R21" s="332"/>
      <c r="S21" s="336"/>
      <c r="T21" s="336">
        <v>31</v>
      </c>
    </row>
    <row r="22" spans="1:20" ht="13.5" customHeight="1" x14ac:dyDescent="0.25">
      <c r="A22" s="161" t="s">
        <v>301</v>
      </c>
      <c r="B22" s="333"/>
      <c r="C22" s="162" t="s">
        <v>299</v>
      </c>
      <c r="D22" s="333"/>
      <c r="E22" s="337"/>
      <c r="F22" s="337"/>
      <c r="H22" s="21" t="s">
        <v>54</v>
      </c>
      <c r="I22" s="337"/>
      <c r="J22" s="21" t="s">
        <v>46</v>
      </c>
      <c r="K22" s="337"/>
      <c r="L22" s="337"/>
      <c r="M22" s="337"/>
      <c r="O22" s="21" t="s">
        <v>70</v>
      </c>
      <c r="P22" s="337"/>
      <c r="Q22" s="21" t="s">
        <v>49</v>
      </c>
      <c r="R22" s="333"/>
      <c r="S22" s="337"/>
      <c r="T22" s="337"/>
    </row>
    <row r="23" spans="1:20" ht="13.5" customHeight="1" x14ac:dyDescent="0.25">
      <c r="A23" s="22" t="s">
        <v>56</v>
      </c>
      <c r="B23" s="332">
        <v>0.27777777777777779</v>
      </c>
      <c r="C23" s="22" t="s">
        <v>60</v>
      </c>
      <c r="D23" s="332">
        <v>0.28472222222222221</v>
      </c>
      <c r="E23" s="336"/>
      <c r="F23" s="336">
        <v>5</v>
      </c>
      <c r="O23" s="22" t="s">
        <v>44</v>
      </c>
      <c r="P23" s="332"/>
      <c r="Q23" s="22" t="s">
        <v>68</v>
      </c>
      <c r="R23" s="332"/>
      <c r="S23" s="336"/>
      <c r="T23" s="336">
        <v>21</v>
      </c>
    </row>
    <row r="24" spans="1:20" ht="13.5" customHeight="1" x14ac:dyDescent="0.25">
      <c r="A24" s="162" t="s">
        <v>299</v>
      </c>
      <c r="B24" s="333"/>
      <c r="C24" s="20" t="s">
        <v>298</v>
      </c>
      <c r="D24" s="333"/>
      <c r="E24" s="337"/>
      <c r="F24" s="337"/>
      <c r="O24" s="21" t="s">
        <v>49</v>
      </c>
      <c r="P24" s="333"/>
      <c r="Q24" s="21" t="s">
        <v>69</v>
      </c>
      <c r="R24" s="333"/>
      <c r="S24" s="337"/>
      <c r="T24" s="337"/>
    </row>
    <row r="25" spans="1:20" ht="13.5" customHeight="1" x14ac:dyDescent="0.25">
      <c r="A25" s="22" t="s">
        <v>60</v>
      </c>
      <c r="B25" s="332">
        <v>0.28472222222222221</v>
      </c>
      <c r="C25" s="22" t="s">
        <v>44</v>
      </c>
      <c r="D25" s="332"/>
      <c r="E25" s="336"/>
      <c r="F25" s="336">
        <v>24</v>
      </c>
      <c r="H25" s="3"/>
      <c r="I25" s="3"/>
      <c r="J25" s="3"/>
      <c r="K25" s="3"/>
      <c r="L25" s="3"/>
      <c r="M25" s="3"/>
      <c r="O25" s="22" t="s">
        <v>68</v>
      </c>
      <c r="P25" s="332"/>
      <c r="Q25" s="22" t="s">
        <v>44</v>
      </c>
      <c r="R25" s="332"/>
      <c r="S25" s="336"/>
      <c r="T25" s="336">
        <v>23</v>
      </c>
    </row>
    <row r="26" spans="1:20" ht="13.5" customHeight="1" x14ac:dyDescent="0.25">
      <c r="A26" s="162" t="s">
        <v>298</v>
      </c>
      <c r="B26" s="333"/>
      <c r="C26" s="161" t="s">
        <v>297</v>
      </c>
      <c r="D26" s="333"/>
      <c r="E26" s="337"/>
      <c r="F26" s="337"/>
      <c r="H26" s="3"/>
      <c r="I26" s="3"/>
      <c r="J26" s="3"/>
      <c r="K26" s="3"/>
      <c r="L26" s="3"/>
      <c r="M26" s="3"/>
      <c r="O26" s="21" t="s">
        <v>69</v>
      </c>
      <c r="P26" s="333"/>
      <c r="Q26" s="21" t="s">
        <v>49</v>
      </c>
      <c r="R26" s="333"/>
      <c r="S26" s="337"/>
      <c r="T26" s="337"/>
    </row>
    <row r="27" spans="1:20" ht="13.5" customHeight="1" x14ac:dyDescent="0.25">
      <c r="A27" s="338" t="s">
        <v>124</v>
      </c>
      <c r="B27" s="338"/>
      <c r="C27" s="338"/>
      <c r="D27" s="338"/>
      <c r="E27" s="338"/>
      <c r="F27" s="338"/>
      <c r="O27" s="22" t="s">
        <v>44</v>
      </c>
      <c r="P27" s="332"/>
      <c r="Q27" s="22" t="s">
        <v>48</v>
      </c>
      <c r="R27" s="332"/>
      <c r="S27" s="336"/>
      <c r="T27" s="336">
        <v>15</v>
      </c>
    </row>
    <row r="28" spans="1:20" ht="13.5" customHeight="1" x14ac:dyDescent="0.25">
      <c r="A28" s="22" t="s">
        <v>43</v>
      </c>
      <c r="B28" s="332">
        <v>0.2638888888888889</v>
      </c>
      <c r="C28" s="22" t="s">
        <v>56</v>
      </c>
      <c r="D28" s="332">
        <v>0.27777777777777779</v>
      </c>
      <c r="E28" s="336"/>
      <c r="F28" s="336">
        <v>11</v>
      </c>
      <c r="O28" s="21" t="s">
        <v>49</v>
      </c>
      <c r="P28" s="333"/>
      <c r="Q28" s="21" t="s">
        <v>67</v>
      </c>
      <c r="R28" s="333"/>
      <c r="S28" s="337"/>
      <c r="T28" s="337"/>
    </row>
    <row r="29" spans="1:20" ht="13.5" customHeight="1" x14ac:dyDescent="0.25">
      <c r="A29" s="161" t="s">
        <v>301</v>
      </c>
      <c r="B29" s="333"/>
      <c r="C29" s="162" t="s">
        <v>299</v>
      </c>
      <c r="D29" s="333"/>
      <c r="E29" s="337"/>
      <c r="F29" s="337"/>
      <c r="O29" s="22" t="s">
        <v>48</v>
      </c>
      <c r="P29" s="336"/>
      <c r="Q29" s="22" t="s">
        <v>44</v>
      </c>
      <c r="R29" s="336"/>
      <c r="S29" s="336"/>
      <c r="T29" s="336">
        <v>18</v>
      </c>
    </row>
    <row r="30" spans="1:20" ht="13.5" customHeight="1" x14ac:dyDescent="0.25">
      <c r="A30" s="22" t="s">
        <v>56</v>
      </c>
      <c r="B30" s="332">
        <v>0.27777777777777779</v>
      </c>
      <c r="C30" s="22" t="s">
        <v>58</v>
      </c>
      <c r="D30" s="332">
        <v>0.28472222222222221</v>
      </c>
      <c r="E30" s="336"/>
      <c r="F30" s="336">
        <v>3</v>
      </c>
      <c r="H30" s="2"/>
      <c r="I30" s="2"/>
      <c r="O30" s="21" t="s">
        <v>67</v>
      </c>
      <c r="P30" s="337"/>
      <c r="Q30" s="21" t="s">
        <v>49</v>
      </c>
      <c r="R30" s="337"/>
      <c r="S30" s="337"/>
      <c r="T30" s="337"/>
    </row>
    <row r="31" spans="1:20" ht="13.5" customHeight="1" x14ac:dyDescent="0.25">
      <c r="A31" s="162" t="s">
        <v>299</v>
      </c>
      <c r="B31" s="333"/>
      <c r="C31" s="161" t="s">
        <v>300</v>
      </c>
      <c r="D31" s="333"/>
      <c r="E31" s="337"/>
      <c r="F31" s="337"/>
      <c r="O31" s="22"/>
      <c r="P31" s="332"/>
      <c r="Q31" s="22"/>
      <c r="R31" s="332"/>
      <c r="S31" s="336"/>
      <c r="T31" s="336"/>
    </row>
    <row r="32" spans="1:20" ht="13.5" customHeight="1" x14ac:dyDescent="0.25">
      <c r="A32" s="22" t="s">
        <v>58</v>
      </c>
      <c r="B32" s="332">
        <v>0.28472222222222221</v>
      </c>
      <c r="C32" s="22" t="s">
        <v>60</v>
      </c>
      <c r="D32" s="332">
        <v>0.29166666666666669</v>
      </c>
      <c r="E32" s="336"/>
      <c r="F32" s="336">
        <v>3</v>
      </c>
      <c r="O32" s="21"/>
      <c r="P32" s="333"/>
      <c r="Q32" s="21"/>
      <c r="R32" s="333"/>
      <c r="S32" s="337"/>
      <c r="T32" s="337"/>
    </row>
    <row r="33" spans="1:20" ht="13.5" customHeight="1" x14ac:dyDescent="0.25">
      <c r="A33" s="161" t="s">
        <v>300</v>
      </c>
      <c r="B33" s="333"/>
      <c r="C33" s="162" t="s">
        <v>298</v>
      </c>
      <c r="D33" s="333"/>
      <c r="E33" s="337"/>
      <c r="F33" s="337"/>
      <c r="O33" s="22"/>
      <c r="P33" s="336"/>
      <c r="Q33" s="22"/>
      <c r="R33" s="332"/>
      <c r="S33" s="336"/>
      <c r="T33" s="336"/>
    </row>
    <row r="34" spans="1:20" ht="13.5" customHeight="1" x14ac:dyDescent="0.25">
      <c r="A34" s="22" t="s">
        <v>60</v>
      </c>
      <c r="B34" s="332">
        <v>0.29166666666666669</v>
      </c>
      <c r="C34" s="22" t="s">
        <v>44</v>
      </c>
      <c r="D34" s="332"/>
      <c r="E34" s="336"/>
      <c r="F34" s="336">
        <v>24</v>
      </c>
      <c r="O34" s="21"/>
      <c r="P34" s="337"/>
      <c r="Q34" s="21"/>
      <c r="R34" s="333"/>
      <c r="S34" s="337"/>
      <c r="T34" s="337"/>
    </row>
    <row r="35" spans="1:20" ht="13.5" customHeight="1" x14ac:dyDescent="0.25">
      <c r="A35" s="162" t="s">
        <v>298</v>
      </c>
      <c r="B35" s="333"/>
      <c r="C35" s="161" t="s">
        <v>297</v>
      </c>
      <c r="D35" s="333"/>
      <c r="E35" s="337"/>
      <c r="F35" s="337"/>
      <c r="O35" s="22"/>
      <c r="P35" s="336"/>
      <c r="Q35" s="22"/>
      <c r="R35" s="332"/>
      <c r="S35" s="336"/>
      <c r="T35" s="336"/>
    </row>
    <row r="36" spans="1:20" ht="13.5" customHeight="1" x14ac:dyDescent="0.25">
      <c r="O36" s="21"/>
      <c r="P36" s="337"/>
      <c r="Q36" s="21"/>
      <c r="R36" s="333"/>
      <c r="S36" s="337"/>
      <c r="T36" s="337"/>
    </row>
    <row r="37" spans="1:20" ht="13.5" customHeight="1" x14ac:dyDescent="0.25">
      <c r="C37" s="127" t="s">
        <v>166</v>
      </c>
    </row>
    <row r="38" spans="1:20" ht="13.5" customHeight="1" x14ac:dyDescent="0.25">
      <c r="C38" s="128" t="s">
        <v>167</v>
      </c>
    </row>
    <row r="39" spans="1:20" ht="13.5" customHeight="1" x14ac:dyDescent="0.25"/>
    <row r="40" spans="1:20" ht="13.5" customHeight="1" x14ac:dyDescent="0.25"/>
    <row r="41" spans="1:20" ht="13.5" customHeight="1" x14ac:dyDescent="0.25"/>
    <row r="42" spans="1:20" ht="13.5" customHeight="1" x14ac:dyDescent="0.25"/>
    <row r="43" spans="1:20" ht="13.5" customHeight="1" x14ac:dyDescent="0.25"/>
    <row r="44" spans="1:20" ht="13.5" customHeight="1" x14ac:dyDescent="0.25"/>
    <row r="45" spans="1:20" ht="13.5" customHeight="1" x14ac:dyDescent="0.25"/>
    <row r="46" spans="1:20" ht="13.5" customHeight="1" x14ac:dyDescent="0.25"/>
    <row r="47" spans="1:20" ht="13.5" customHeight="1" x14ac:dyDescent="0.25"/>
    <row r="48" spans="1:20" ht="13.5" customHeight="1" x14ac:dyDescent="0.25"/>
    <row r="49" ht="13.5" customHeight="1" x14ac:dyDescent="0.25"/>
    <row r="50" ht="13.5" customHeight="1" x14ac:dyDescent="0.25"/>
    <row r="78" spans="1:20" x14ac:dyDescent="0.25">
      <c r="A78" s="347" t="s">
        <v>28</v>
      </c>
      <c r="B78" s="347"/>
      <c r="C78" s="347"/>
      <c r="D78" s="347"/>
      <c r="E78" s="347"/>
      <c r="F78" s="347"/>
      <c r="H78" s="357" t="s">
        <v>29</v>
      </c>
      <c r="I78" s="357"/>
      <c r="J78" s="357"/>
      <c r="K78" s="357"/>
      <c r="L78" s="357"/>
      <c r="M78" s="357"/>
      <c r="O78" s="362" t="s">
        <v>32</v>
      </c>
      <c r="P78" s="362"/>
      <c r="Q78" s="362"/>
      <c r="R78" s="362"/>
      <c r="S78" s="362"/>
      <c r="T78" s="362"/>
    </row>
    <row r="79" spans="1:20" x14ac:dyDescent="0.25">
      <c r="A79" s="348"/>
      <c r="B79" s="348"/>
      <c r="C79" s="348"/>
      <c r="D79" s="348"/>
      <c r="E79" s="348"/>
      <c r="F79" s="348"/>
      <c r="H79" s="358"/>
      <c r="I79" s="358"/>
      <c r="J79" s="358"/>
      <c r="K79" s="358"/>
      <c r="L79" s="358"/>
      <c r="M79" s="358"/>
      <c r="O79" s="363"/>
      <c r="P79" s="363"/>
      <c r="Q79" s="363"/>
      <c r="R79" s="363"/>
      <c r="S79" s="363"/>
      <c r="T79" s="363"/>
    </row>
    <row r="80" spans="1:20" x14ac:dyDescent="0.25">
      <c r="A80" s="349" t="s">
        <v>76</v>
      </c>
      <c r="B80" s="349"/>
      <c r="C80" s="349"/>
      <c r="D80" s="349"/>
      <c r="E80" s="349"/>
      <c r="F80" s="349"/>
      <c r="H80" s="15" t="s">
        <v>44</v>
      </c>
      <c r="I80" s="359">
        <v>0.70833333333333337</v>
      </c>
      <c r="J80" s="15" t="s">
        <v>63</v>
      </c>
      <c r="K80" s="359">
        <v>0.72222222222222221</v>
      </c>
      <c r="L80" s="361"/>
      <c r="M80" s="361">
        <v>11</v>
      </c>
      <c r="O80" s="14" t="s">
        <v>44</v>
      </c>
      <c r="P80" s="354"/>
      <c r="Q80" s="14" t="s">
        <v>74</v>
      </c>
      <c r="R80" s="354"/>
      <c r="S80" s="355"/>
      <c r="T80" s="355">
        <v>27</v>
      </c>
    </row>
    <row r="81" spans="1:20" x14ac:dyDescent="0.25">
      <c r="A81" s="12" t="s">
        <v>43</v>
      </c>
      <c r="B81" s="350">
        <v>0.2638888888888889</v>
      </c>
      <c r="C81" s="12" t="s">
        <v>56</v>
      </c>
      <c r="D81" s="350">
        <v>0.27777777777777779</v>
      </c>
      <c r="E81" s="352"/>
      <c r="F81" s="352">
        <v>11</v>
      </c>
      <c r="H81" s="16" t="s">
        <v>49</v>
      </c>
      <c r="I81" s="360"/>
      <c r="J81" s="16" t="s">
        <v>62</v>
      </c>
      <c r="K81" s="360"/>
      <c r="L81" s="360"/>
      <c r="M81" s="360"/>
      <c r="O81" s="13" t="s">
        <v>49</v>
      </c>
      <c r="P81" s="351"/>
      <c r="Q81" s="13" t="s">
        <v>75</v>
      </c>
      <c r="R81" s="351"/>
      <c r="S81" s="353"/>
      <c r="T81" s="353"/>
    </row>
    <row r="82" spans="1:20" x14ac:dyDescent="0.25">
      <c r="A82" s="13" t="s">
        <v>46</v>
      </c>
      <c r="B82" s="351"/>
      <c r="C82" s="12" t="s">
        <v>57</v>
      </c>
      <c r="D82" s="351"/>
      <c r="E82" s="353"/>
      <c r="F82" s="353"/>
      <c r="H82" s="15" t="s">
        <v>63</v>
      </c>
      <c r="I82" s="359">
        <v>0.80555555555555547</v>
      </c>
      <c r="J82" s="15" t="s">
        <v>64</v>
      </c>
      <c r="K82" s="359">
        <v>0.82638888888888884</v>
      </c>
      <c r="L82" s="361"/>
      <c r="M82" s="361">
        <v>13</v>
      </c>
      <c r="O82" s="14" t="s">
        <v>74</v>
      </c>
      <c r="P82" s="354"/>
      <c r="Q82" s="14" t="s">
        <v>44</v>
      </c>
      <c r="R82" s="354"/>
      <c r="S82" s="355"/>
      <c r="T82" s="355">
        <v>28</v>
      </c>
    </row>
    <row r="83" spans="1:20" x14ac:dyDescent="0.25">
      <c r="A83" s="14" t="s">
        <v>56</v>
      </c>
      <c r="B83" s="354">
        <v>0.27777777777777779</v>
      </c>
      <c r="C83" s="14" t="s">
        <v>44</v>
      </c>
      <c r="D83" s="354"/>
      <c r="E83" s="355"/>
      <c r="F83" s="355">
        <v>22</v>
      </c>
      <c r="H83" s="16" t="s">
        <v>62</v>
      </c>
      <c r="I83" s="360"/>
      <c r="J83" s="16" t="s">
        <v>54</v>
      </c>
      <c r="K83" s="360"/>
      <c r="L83" s="360"/>
      <c r="M83" s="360"/>
      <c r="O83" s="13" t="s">
        <v>75</v>
      </c>
      <c r="P83" s="351"/>
      <c r="Q83" s="13" t="s">
        <v>49</v>
      </c>
      <c r="R83" s="351"/>
      <c r="S83" s="353"/>
      <c r="T83" s="353"/>
    </row>
    <row r="84" spans="1:20" x14ac:dyDescent="0.25">
      <c r="A84" s="13" t="s">
        <v>57</v>
      </c>
      <c r="B84" s="351"/>
      <c r="C84" s="13" t="s">
        <v>49</v>
      </c>
      <c r="D84" s="351"/>
      <c r="E84" s="353"/>
      <c r="F84" s="353"/>
      <c r="H84" s="15" t="s">
        <v>64</v>
      </c>
      <c r="I84" s="359">
        <v>0.82638888888888884</v>
      </c>
      <c r="J84" s="15" t="s">
        <v>45</v>
      </c>
      <c r="K84" s="359">
        <v>0.84027777777777779</v>
      </c>
      <c r="L84" s="361"/>
      <c r="M84" s="361">
        <v>7</v>
      </c>
      <c r="O84" s="14" t="s">
        <v>74</v>
      </c>
      <c r="P84" s="354"/>
      <c r="Q84" s="14" t="s">
        <v>72</v>
      </c>
      <c r="R84" s="354"/>
      <c r="S84" s="355"/>
      <c r="T84" s="355">
        <v>15</v>
      </c>
    </row>
    <row r="85" spans="1:20" x14ac:dyDescent="0.25">
      <c r="A85" s="356" t="s">
        <v>77</v>
      </c>
      <c r="B85" s="356"/>
      <c r="C85" s="356"/>
      <c r="D85" s="356"/>
      <c r="E85" s="356"/>
      <c r="F85" s="356"/>
      <c r="H85" s="16" t="s">
        <v>54</v>
      </c>
      <c r="I85" s="360"/>
      <c r="J85" s="16" t="s">
        <v>46</v>
      </c>
      <c r="K85" s="360"/>
      <c r="L85" s="360"/>
      <c r="M85" s="360"/>
      <c r="O85" s="13" t="s">
        <v>75</v>
      </c>
      <c r="P85" s="351"/>
      <c r="Q85" s="13" t="s">
        <v>73</v>
      </c>
      <c r="R85" s="351"/>
      <c r="S85" s="353"/>
      <c r="T85" s="353"/>
    </row>
    <row r="86" spans="1:20" x14ac:dyDescent="0.25">
      <c r="A86" s="14" t="s">
        <v>43</v>
      </c>
      <c r="B86" s="354">
        <v>0.2638888888888889</v>
      </c>
      <c r="C86" s="14" t="s">
        <v>58</v>
      </c>
      <c r="D86" s="354">
        <v>0.27777777777777779</v>
      </c>
      <c r="E86" s="355"/>
      <c r="F86" s="355">
        <v>10</v>
      </c>
      <c r="H86" s="17"/>
      <c r="I86" s="17"/>
      <c r="J86" s="17"/>
      <c r="K86" s="17"/>
      <c r="L86" s="17"/>
      <c r="M86" s="17"/>
      <c r="O86" s="14" t="s">
        <v>72</v>
      </c>
      <c r="P86" s="354"/>
      <c r="Q86" s="14" t="s">
        <v>74</v>
      </c>
      <c r="R86" s="354"/>
      <c r="S86" s="355"/>
      <c r="T86" s="355">
        <v>16</v>
      </c>
    </row>
    <row r="87" spans="1:20" x14ac:dyDescent="0.25">
      <c r="A87" s="13" t="s">
        <v>46</v>
      </c>
      <c r="B87" s="351"/>
      <c r="C87" s="13" t="s">
        <v>59</v>
      </c>
      <c r="D87" s="351"/>
      <c r="E87" s="353"/>
      <c r="F87" s="353"/>
      <c r="H87" s="14" t="s">
        <v>44</v>
      </c>
      <c r="I87" s="354">
        <v>0.70833333333333337</v>
      </c>
      <c r="J87" s="14" t="s">
        <v>65</v>
      </c>
      <c r="K87" s="354">
        <v>0.72916666666666663</v>
      </c>
      <c r="L87" s="355"/>
      <c r="M87" s="355">
        <v>17</v>
      </c>
      <c r="O87" s="13" t="s">
        <v>73</v>
      </c>
      <c r="P87" s="351"/>
      <c r="Q87" s="13" t="s">
        <v>75</v>
      </c>
      <c r="R87" s="351"/>
      <c r="S87" s="353"/>
      <c r="T87" s="353"/>
    </row>
    <row r="88" spans="1:20" x14ac:dyDescent="0.25">
      <c r="A88" s="14" t="s">
        <v>58</v>
      </c>
      <c r="B88" s="354">
        <v>0.27777777777777779</v>
      </c>
      <c r="C88" s="14" t="s">
        <v>44</v>
      </c>
      <c r="D88" s="354"/>
      <c r="E88" s="355"/>
      <c r="F88" s="355">
        <v>23</v>
      </c>
      <c r="H88" s="13" t="s">
        <v>49</v>
      </c>
      <c r="I88" s="353"/>
      <c r="J88" s="13" t="s">
        <v>66</v>
      </c>
      <c r="K88" s="353"/>
      <c r="L88" s="353"/>
      <c r="M88" s="353"/>
      <c r="O88" s="14" t="s">
        <v>44</v>
      </c>
      <c r="P88" s="354"/>
      <c r="Q88" s="14" t="s">
        <v>72</v>
      </c>
      <c r="R88" s="354"/>
      <c r="S88" s="355"/>
      <c r="T88" s="355">
        <v>16</v>
      </c>
    </row>
    <row r="89" spans="1:20" x14ac:dyDescent="0.25">
      <c r="A89" s="13" t="s">
        <v>59</v>
      </c>
      <c r="B89" s="351"/>
      <c r="C89" s="13" t="s">
        <v>49</v>
      </c>
      <c r="D89" s="351"/>
      <c r="E89" s="353"/>
      <c r="F89" s="353"/>
      <c r="H89" s="14" t="s">
        <v>65</v>
      </c>
      <c r="I89" s="354">
        <v>0.8125</v>
      </c>
      <c r="J89" s="14" t="s">
        <v>64</v>
      </c>
      <c r="K89" s="354">
        <v>0.83333333333333337</v>
      </c>
      <c r="L89" s="355"/>
      <c r="M89" s="355">
        <v>6</v>
      </c>
      <c r="O89" s="13" t="s">
        <v>49</v>
      </c>
      <c r="P89" s="351"/>
      <c r="Q89" s="13" t="s">
        <v>73</v>
      </c>
      <c r="R89" s="351"/>
      <c r="S89" s="353"/>
      <c r="T89" s="353"/>
    </row>
    <row r="90" spans="1:20" x14ac:dyDescent="0.25">
      <c r="A90" s="356" t="s">
        <v>78</v>
      </c>
      <c r="B90" s="356"/>
      <c r="C90" s="356"/>
      <c r="D90" s="356"/>
      <c r="E90" s="356"/>
      <c r="F90" s="356"/>
      <c r="H90" s="13" t="s">
        <v>66</v>
      </c>
      <c r="I90" s="353"/>
      <c r="J90" s="13" t="s">
        <v>54</v>
      </c>
      <c r="K90" s="353"/>
      <c r="L90" s="353"/>
      <c r="M90" s="353"/>
      <c r="O90" s="14" t="s">
        <v>72</v>
      </c>
      <c r="P90" s="354"/>
      <c r="Q90" s="14" t="s">
        <v>44</v>
      </c>
      <c r="R90" s="354"/>
      <c r="S90" s="355"/>
      <c r="T90" s="355">
        <v>18</v>
      </c>
    </row>
    <row r="91" spans="1:20" x14ac:dyDescent="0.25">
      <c r="A91" s="14" t="s">
        <v>43</v>
      </c>
      <c r="B91" s="354">
        <v>0.2638888888888889</v>
      </c>
      <c r="C91" s="14" t="s">
        <v>56</v>
      </c>
      <c r="D91" s="354">
        <v>0.27777777777777779</v>
      </c>
      <c r="E91" s="355"/>
      <c r="F91" s="355">
        <v>11</v>
      </c>
      <c r="H91" s="14" t="s">
        <v>64</v>
      </c>
      <c r="I91" s="354">
        <v>0.83333333333333337</v>
      </c>
      <c r="J91" s="14" t="s">
        <v>45</v>
      </c>
      <c r="K91" s="354">
        <v>0.84722222222222221</v>
      </c>
      <c r="L91" s="355"/>
      <c r="M91" s="355">
        <v>7</v>
      </c>
      <c r="O91" s="13" t="s">
        <v>73</v>
      </c>
      <c r="P91" s="351"/>
      <c r="Q91" s="13" t="s">
        <v>49</v>
      </c>
      <c r="R91" s="351"/>
      <c r="S91" s="353"/>
      <c r="T91" s="353"/>
    </row>
    <row r="92" spans="1:20" x14ac:dyDescent="0.25">
      <c r="A92" s="13" t="s">
        <v>46</v>
      </c>
      <c r="B92" s="351"/>
      <c r="C92" s="12" t="s">
        <v>57</v>
      </c>
      <c r="D92" s="351"/>
      <c r="E92" s="353"/>
      <c r="F92" s="353"/>
      <c r="H92" s="13" t="s">
        <v>54</v>
      </c>
      <c r="I92" s="353"/>
      <c r="J92" s="13" t="s">
        <v>46</v>
      </c>
      <c r="K92" s="353"/>
      <c r="L92" s="353"/>
      <c r="M92" s="353"/>
      <c r="O92" s="14" t="s">
        <v>44</v>
      </c>
      <c r="P92" s="355"/>
      <c r="Q92" s="12" t="s">
        <v>5</v>
      </c>
      <c r="R92" s="354"/>
      <c r="S92" s="355"/>
      <c r="T92" s="355">
        <v>36</v>
      </c>
    </row>
    <row r="93" spans="1:20" x14ac:dyDescent="0.25">
      <c r="A93" s="14" t="s">
        <v>56</v>
      </c>
      <c r="B93" s="354">
        <v>0.27777777777777779</v>
      </c>
      <c r="C93" s="14" t="s">
        <v>58</v>
      </c>
      <c r="D93" s="354">
        <v>0.28472222222222221</v>
      </c>
      <c r="E93" s="355"/>
      <c r="F93" s="355">
        <v>3</v>
      </c>
      <c r="H93" s="17"/>
      <c r="I93" s="17"/>
      <c r="J93" s="17"/>
      <c r="K93" s="17"/>
      <c r="L93" s="17"/>
      <c r="M93" s="17"/>
      <c r="O93" s="13" t="s">
        <v>49</v>
      </c>
      <c r="P93" s="353"/>
      <c r="Q93" s="13" t="s">
        <v>50</v>
      </c>
      <c r="R93" s="351"/>
      <c r="S93" s="353"/>
      <c r="T93" s="353"/>
    </row>
    <row r="94" spans="1:20" x14ac:dyDescent="0.25">
      <c r="A94" s="12" t="s">
        <v>57</v>
      </c>
      <c r="B94" s="351"/>
      <c r="C94" s="13" t="s">
        <v>59</v>
      </c>
      <c r="D94" s="351"/>
      <c r="E94" s="353"/>
      <c r="F94" s="353"/>
      <c r="H94" s="14" t="s">
        <v>44</v>
      </c>
      <c r="I94" s="354">
        <v>0.72222222222222221</v>
      </c>
      <c r="J94" s="14" t="s">
        <v>53</v>
      </c>
      <c r="K94" s="354">
        <v>0.74305555555555547</v>
      </c>
      <c r="L94" s="355"/>
      <c r="M94" s="355">
        <v>14</v>
      </c>
      <c r="O94" s="12" t="s">
        <v>5</v>
      </c>
      <c r="P94" s="355"/>
      <c r="Q94" s="14" t="s">
        <v>44</v>
      </c>
      <c r="R94" s="354"/>
      <c r="S94" s="355"/>
      <c r="T94" s="355">
        <v>35</v>
      </c>
    </row>
    <row r="95" spans="1:20" x14ac:dyDescent="0.25">
      <c r="A95" s="14" t="s">
        <v>58</v>
      </c>
      <c r="B95" s="354">
        <v>0.28472222222222221</v>
      </c>
      <c r="C95" s="14" t="s">
        <v>44</v>
      </c>
      <c r="D95" s="354"/>
      <c r="E95" s="355"/>
      <c r="F95" s="355">
        <v>23</v>
      </c>
      <c r="H95" s="13" t="s">
        <v>49</v>
      </c>
      <c r="I95" s="353"/>
      <c r="J95" s="18" t="s">
        <v>55</v>
      </c>
      <c r="K95" s="353"/>
      <c r="L95" s="353"/>
      <c r="M95" s="353"/>
      <c r="O95" s="13" t="s">
        <v>50</v>
      </c>
      <c r="P95" s="353"/>
      <c r="Q95" s="13" t="s">
        <v>49</v>
      </c>
      <c r="R95" s="351"/>
      <c r="S95" s="353"/>
      <c r="T95" s="353"/>
    </row>
    <row r="96" spans="1:20" x14ac:dyDescent="0.25">
      <c r="A96" s="13" t="s">
        <v>59</v>
      </c>
      <c r="B96" s="351"/>
      <c r="C96" s="13" t="s">
        <v>49</v>
      </c>
      <c r="D96" s="351"/>
      <c r="E96" s="353"/>
      <c r="F96" s="353"/>
      <c r="H96" s="14" t="s">
        <v>53</v>
      </c>
      <c r="I96" s="354">
        <v>0.84027777777777779</v>
      </c>
      <c r="J96" s="14" t="s">
        <v>64</v>
      </c>
      <c r="K96" s="354">
        <v>0.84722222222222221</v>
      </c>
      <c r="L96" s="355"/>
      <c r="M96" s="355">
        <v>2</v>
      </c>
      <c r="O96" s="14" t="s">
        <v>44</v>
      </c>
      <c r="P96" s="355"/>
      <c r="Q96" s="14" t="s">
        <v>71</v>
      </c>
      <c r="R96" s="354"/>
      <c r="S96" s="355"/>
      <c r="T96" s="355">
        <v>30</v>
      </c>
    </row>
    <row r="97" spans="1:20" x14ac:dyDescent="0.25">
      <c r="A97" s="356" t="s">
        <v>79</v>
      </c>
      <c r="B97" s="356"/>
      <c r="C97" s="356"/>
      <c r="D97" s="356"/>
      <c r="E97" s="356"/>
      <c r="F97" s="356"/>
      <c r="H97" s="19" t="s">
        <v>55</v>
      </c>
      <c r="I97" s="353"/>
      <c r="J97" s="13" t="s">
        <v>54</v>
      </c>
      <c r="K97" s="353"/>
      <c r="L97" s="353"/>
      <c r="M97" s="353"/>
      <c r="O97" s="13" t="s">
        <v>49</v>
      </c>
      <c r="P97" s="353"/>
      <c r="Q97" s="13" t="s">
        <v>70</v>
      </c>
      <c r="R97" s="351"/>
      <c r="S97" s="353"/>
      <c r="T97" s="353"/>
    </row>
    <row r="98" spans="1:20" x14ac:dyDescent="0.25">
      <c r="A98" s="14" t="s">
        <v>43</v>
      </c>
      <c r="B98" s="354">
        <v>0.2638888888888889</v>
      </c>
      <c r="C98" s="14" t="s">
        <v>60</v>
      </c>
      <c r="D98" s="354">
        <v>0.27083333333333331</v>
      </c>
      <c r="E98" s="355"/>
      <c r="F98" s="355">
        <v>1</v>
      </c>
      <c r="H98" s="14" t="s">
        <v>64</v>
      </c>
      <c r="I98" s="354">
        <v>0.84722222222222221</v>
      </c>
      <c r="J98" s="14" t="s">
        <v>45</v>
      </c>
      <c r="K98" s="354">
        <v>0.86111111111111116</v>
      </c>
      <c r="L98" s="355"/>
      <c r="M98" s="355">
        <v>7</v>
      </c>
      <c r="O98" s="14" t="s">
        <v>71</v>
      </c>
      <c r="P98" s="355"/>
      <c r="Q98" s="14" t="s">
        <v>44</v>
      </c>
      <c r="R98" s="354"/>
      <c r="S98" s="355"/>
      <c r="T98" s="355">
        <v>31</v>
      </c>
    </row>
    <row r="99" spans="1:20" x14ac:dyDescent="0.25">
      <c r="A99" s="13" t="s">
        <v>46</v>
      </c>
      <c r="B99" s="351"/>
      <c r="C99" s="12" t="s">
        <v>61</v>
      </c>
      <c r="D99" s="351"/>
      <c r="E99" s="353"/>
      <c r="F99" s="353"/>
      <c r="H99" s="13" t="s">
        <v>54</v>
      </c>
      <c r="I99" s="353"/>
      <c r="J99" s="13" t="s">
        <v>46</v>
      </c>
      <c r="K99" s="353"/>
      <c r="L99" s="353"/>
      <c r="M99" s="353"/>
      <c r="O99" s="13" t="s">
        <v>70</v>
      </c>
      <c r="P99" s="353"/>
      <c r="Q99" s="13" t="s">
        <v>49</v>
      </c>
      <c r="R99" s="351"/>
      <c r="S99" s="353"/>
      <c r="T99" s="353"/>
    </row>
    <row r="100" spans="1:20" x14ac:dyDescent="0.25">
      <c r="A100" s="14" t="s">
        <v>60</v>
      </c>
      <c r="B100" s="354">
        <v>0.27083333333333331</v>
      </c>
      <c r="C100" s="14" t="s">
        <v>56</v>
      </c>
      <c r="D100" s="354">
        <v>0.27777777777777779</v>
      </c>
      <c r="E100" s="355"/>
      <c r="F100" s="355">
        <v>10</v>
      </c>
      <c r="O100" s="14" t="s">
        <v>44</v>
      </c>
      <c r="P100" s="354"/>
      <c r="Q100" s="14" t="s">
        <v>68</v>
      </c>
      <c r="R100" s="354"/>
      <c r="S100" s="355"/>
      <c r="T100" s="355">
        <v>21</v>
      </c>
    </row>
    <row r="101" spans="1:20" x14ac:dyDescent="0.25">
      <c r="A101" s="12" t="s">
        <v>61</v>
      </c>
      <c r="B101" s="351"/>
      <c r="C101" s="12" t="s">
        <v>57</v>
      </c>
      <c r="D101" s="351"/>
      <c r="E101" s="353"/>
      <c r="F101" s="353"/>
      <c r="O101" s="13" t="s">
        <v>49</v>
      </c>
      <c r="P101" s="351"/>
      <c r="Q101" s="13" t="s">
        <v>69</v>
      </c>
      <c r="R101" s="351"/>
      <c r="S101" s="353"/>
      <c r="T101" s="353"/>
    </row>
    <row r="102" spans="1:20" x14ac:dyDescent="0.25">
      <c r="A102" s="14" t="s">
        <v>56</v>
      </c>
      <c r="B102" s="354">
        <v>0.27777777777777779</v>
      </c>
      <c r="C102" s="14" t="s">
        <v>44</v>
      </c>
      <c r="D102" s="354"/>
      <c r="E102" s="355"/>
      <c r="F102" s="355">
        <v>22</v>
      </c>
      <c r="O102" s="14" t="s">
        <v>68</v>
      </c>
      <c r="P102" s="354"/>
      <c r="Q102" s="14" t="s">
        <v>44</v>
      </c>
      <c r="R102" s="354"/>
      <c r="S102" s="355"/>
      <c r="T102" s="355">
        <v>23</v>
      </c>
    </row>
    <row r="103" spans="1:20" x14ac:dyDescent="0.25">
      <c r="A103" s="13" t="s">
        <v>57</v>
      </c>
      <c r="B103" s="351"/>
      <c r="C103" s="13" t="s">
        <v>49</v>
      </c>
      <c r="D103" s="351"/>
      <c r="E103" s="353"/>
      <c r="F103" s="353"/>
      <c r="O103" s="13" t="s">
        <v>69</v>
      </c>
      <c r="P103" s="351"/>
      <c r="Q103" s="13" t="s">
        <v>49</v>
      </c>
      <c r="R103" s="351"/>
      <c r="S103" s="353"/>
      <c r="T103" s="353"/>
    </row>
    <row r="104" spans="1:20" x14ac:dyDescent="0.25">
      <c r="A104" s="356" t="s">
        <v>80</v>
      </c>
      <c r="B104" s="356"/>
      <c r="C104" s="356"/>
      <c r="D104" s="356"/>
      <c r="E104" s="356"/>
      <c r="F104" s="356"/>
      <c r="O104" s="14" t="s">
        <v>44</v>
      </c>
      <c r="P104" s="354"/>
      <c r="Q104" s="14" t="s">
        <v>48</v>
      </c>
      <c r="R104" s="354"/>
      <c r="S104" s="355"/>
      <c r="T104" s="355">
        <v>15</v>
      </c>
    </row>
    <row r="105" spans="1:20" x14ac:dyDescent="0.25">
      <c r="A105" s="14" t="s">
        <v>43</v>
      </c>
      <c r="B105" s="354">
        <v>0.2638888888888889</v>
      </c>
      <c r="C105" s="14" t="s">
        <v>60</v>
      </c>
      <c r="D105" s="354">
        <v>0.27083333333333331</v>
      </c>
      <c r="E105" s="355"/>
      <c r="F105" s="355">
        <v>1</v>
      </c>
      <c r="O105" s="13" t="s">
        <v>49</v>
      </c>
      <c r="P105" s="351"/>
      <c r="Q105" s="13" t="s">
        <v>67</v>
      </c>
      <c r="R105" s="351"/>
      <c r="S105" s="353"/>
      <c r="T105" s="353"/>
    </row>
    <row r="106" spans="1:20" x14ac:dyDescent="0.25">
      <c r="A106" s="13" t="s">
        <v>46</v>
      </c>
      <c r="B106" s="351"/>
      <c r="C106" s="12" t="s">
        <v>61</v>
      </c>
      <c r="D106" s="351"/>
      <c r="E106" s="353"/>
      <c r="F106" s="353"/>
      <c r="O106" s="14" t="s">
        <v>48</v>
      </c>
      <c r="P106" s="355"/>
      <c r="Q106" s="14" t="s">
        <v>44</v>
      </c>
      <c r="R106" s="355"/>
      <c r="S106" s="355"/>
      <c r="T106" s="355">
        <v>18</v>
      </c>
    </row>
    <row r="107" spans="1:20" x14ac:dyDescent="0.25">
      <c r="A107" s="14" t="s">
        <v>60</v>
      </c>
      <c r="B107" s="354">
        <v>0.27083333333333331</v>
      </c>
      <c r="C107" s="14" t="s">
        <v>56</v>
      </c>
      <c r="D107" s="354">
        <v>0.27777777777777779</v>
      </c>
      <c r="E107" s="355"/>
      <c r="F107" s="355">
        <v>10</v>
      </c>
      <c r="O107" s="13" t="s">
        <v>67</v>
      </c>
      <c r="P107" s="353"/>
      <c r="Q107" s="13" t="s">
        <v>49</v>
      </c>
      <c r="R107" s="353"/>
      <c r="S107" s="353"/>
      <c r="T107" s="353"/>
    </row>
    <row r="108" spans="1:20" x14ac:dyDescent="0.25">
      <c r="A108" s="12" t="s">
        <v>61</v>
      </c>
      <c r="B108" s="351"/>
      <c r="C108" s="12" t="s">
        <v>57</v>
      </c>
      <c r="D108" s="351"/>
      <c r="E108" s="353"/>
      <c r="F108" s="353"/>
      <c r="O108" s="14"/>
      <c r="P108" s="354"/>
      <c r="Q108" s="14"/>
      <c r="R108" s="354"/>
      <c r="S108" s="355"/>
      <c r="T108" s="355"/>
    </row>
    <row r="109" spans="1:20" x14ac:dyDescent="0.25">
      <c r="A109" s="14" t="s">
        <v>56</v>
      </c>
      <c r="B109" s="354">
        <v>0.27777777777777779</v>
      </c>
      <c r="C109" s="14" t="s">
        <v>58</v>
      </c>
      <c r="D109" s="354">
        <v>0.28472222222222221</v>
      </c>
      <c r="E109" s="355"/>
      <c r="F109" s="355">
        <v>3</v>
      </c>
      <c r="O109" s="13"/>
      <c r="P109" s="351"/>
      <c r="Q109" s="13"/>
      <c r="R109" s="351"/>
      <c r="S109" s="353"/>
      <c r="T109" s="353"/>
    </row>
    <row r="110" spans="1:20" x14ac:dyDescent="0.25">
      <c r="A110" s="12" t="s">
        <v>57</v>
      </c>
      <c r="B110" s="351"/>
      <c r="C110" s="13" t="s">
        <v>59</v>
      </c>
      <c r="D110" s="351"/>
      <c r="E110" s="353"/>
      <c r="F110" s="353"/>
      <c r="O110" s="14"/>
      <c r="P110" s="355"/>
      <c r="Q110" s="14"/>
      <c r="R110" s="354"/>
      <c r="S110" s="355"/>
      <c r="T110" s="355"/>
    </row>
    <row r="111" spans="1:20" x14ac:dyDescent="0.25">
      <c r="A111" s="14" t="s">
        <v>58</v>
      </c>
      <c r="B111" s="354">
        <v>0.28472222222222221</v>
      </c>
      <c r="C111" s="14" t="s">
        <v>44</v>
      </c>
      <c r="D111" s="354"/>
      <c r="E111" s="355"/>
      <c r="F111" s="355">
        <v>23</v>
      </c>
      <c r="O111" s="13"/>
      <c r="P111" s="353"/>
      <c r="Q111" s="13"/>
      <c r="R111" s="351"/>
      <c r="S111" s="353"/>
      <c r="T111" s="353"/>
    </row>
    <row r="112" spans="1:20" x14ac:dyDescent="0.25">
      <c r="A112" s="13" t="s">
        <v>59</v>
      </c>
      <c r="B112" s="351"/>
      <c r="C112" s="13" t="s">
        <v>49</v>
      </c>
      <c r="D112" s="351"/>
      <c r="E112" s="353"/>
      <c r="F112" s="353"/>
      <c r="O112" s="14"/>
      <c r="P112" s="355"/>
      <c r="Q112" s="14"/>
      <c r="R112" s="354"/>
      <c r="S112" s="355"/>
      <c r="T112" s="355"/>
    </row>
    <row r="113" spans="15:20" x14ac:dyDescent="0.25">
      <c r="O113" s="13"/>
      <c r="P113" s="353"/>
      <c r="Q113" s="13"/>
      <c r="R113" s="351"/>
      <c r="S113" s="353"/>
      <c r="T113" s="353"/>
    </row>
  </sheetData>
  <mergeCells count="336">
    <mergeCell ref="P110:P111"/>
    <mergeCell ref="R110:R111"/>
    <mergeCell ref="S110:S111"/>
    <mergeCell ref="T110:T111"/>
    <mergeCell ref="P112:P113"/>
    <mergeCell ref="R112:R113"/>
    <mergeCell ref="S112:S113"/>
    <mergeCell ref="T112:T113"/>
    <mergeCell ref="P104:P105"/>
    <mergeCell ref="R104:R105"/>
    <mergeCell ref="S104:S105"/>
    <mergeCell ref="T104:T105"/>
    <mergeCell ref="P106:P107"/>
    <mergeCell ref="R106:R107"/>
    <mergeCell ref="S106:S107"/>
    <mergeCell ref="T106:T107"/>
    <mergeCell ref="P108:P109"/>
    <mergeCell ref="R108:R109"/>
    <mergeCell ref="S108:S109"/>
    <mergeCell ref="T108:T109"/>
    <mergeCell ref="P98:P99"/>
    <mergeCell ref="R98:R99"/>
    <mergeCell ref="S98:S99"/>
    <mergeCell ref="T98:T99"/>
    <mergeCell ref="P100:P101"/>
    <mergeCell ref="R100:R101"/>
    <mergeCell ref="S100:S101"/>
    <mergeCell ref="T100:T101"/>
    <mergeCell ref="P102:P103"/>
    <mergeCell ref="R102:R103"/>
    <mergeCell ref="S102:S103"/>
    <mergeCell ref="T102:T103"/>
    <mergeCell ref="P92:P93"/>
    <mergeCell ref="R92:R93"/>
    <mergeCell ref="S92:S93"/>
    <mergeCell ref="T92:T93"/>
    <mergeCell ref="P94:P95"/>
    <mergeCell ref="R94:R95"/>
    <mergeCell ref="S94:S95"/>
    <mergeCell ref="T94:T95"/>
    <mergeCell ref="P96:P97"/>
    <mergeCell ref="R96:R97"/>
    <mergeCell ref="S96:S97"/>
    <mergeCell ref="T96:T97"/>
    <mergeCell ref="T86:T87"/>
    <mergeCell ref="P88:P89"/>
    <mergeCell ref="R88:R89"/>
    <mergeCell ref="S88:S89"/>
    <mergeCell ref="T88:T89"/>
    <mergeCell ref="P90:P91"/>
    <mergeCell ref="R90:R91"/>
    <mergeCell ref="S90:S91"/>
    <mergeCell ref="T90:T91"/>
    <mergeCell ref="I96:I97"/>
    <mergeCell ref="K96:K97"/>
    <mergeCell ref="L96:L97"/>
    <mergeCell ref="M96:M97"/>
    <mergeCell ref="I98:I99"/>
    <mergeCell ref="K98:K99"/>
    <mergeCell ref="L98:L99"/>
    <mergeCell ref="M98:M99"/>
    <mergeCell ref="O78:T79"/>
    <mergeCell ref="P80:P81"/>
    <mergeCell ref="R80:R81"/>
    <mergeCell ref="S80:S81"/>
    <mergeCell ref="T80:T81"/>
    <mergeCell ref="P82:P83"/>
    <mergeCell ref="R82:R83"/>
    <mergeCell ref="S82:S83"/>
    <mergeCell ref="T82:T83"/>
    <mergeCell ref="P84:P85"/>
    <mergeCell ref="R84:R85"/>
    <mergeCell ref="S84:S85"/>
    <mergeCell ref="T84:T85"/>
    <mergeCell ref="P86:P87"/>
    <mergeCell ref="R86:R87"/>
    <mergeCell ref="S86:S87"/>
    <mergeCell ref="M89:M90"/>
    <mergeCell ref="I91:I92"/>
    <mergeCell ref="K91:K92"/>
    <mergeCell ref="L91:L92"/>
    <mergeCell ref="M91:M92"/>
    <mergeCell ref="I94:I95"/>
    <mergeCell ref="K94:K95"/>
    <mergeCell ref="L94:L95"/>
    <mergeCell ref="M94:M95"/>
    <mergeCell ref="B111:B112"/>
    <mergeCell ref="D111:D112"/>
    <mergeCell ref="E111:E112"/>
    <mergeCell ref="F111:F112"/>
    <mergeCell ref="H78:M79"/>
    <mergeCell ref="I80:I81"/>
    <mergeCell ref="K80:K81"/>
    <mergeCell ref="L80:L81"/>
    <mergeCell ref="M80:M81"/>
    <mergeCell ref="I82:I83"/>
    <mergeCell ref="K82:K83"/>
    <mergeCell ref="L82:L83"/>
    <mergeCell ref="M82:M83"/>
    <mergeCell ref="I84:I85"/>
    <mergeCell ref="K84:K85"/>
    <mergeCell ref="L84:L85"/>
    <mergeCell ref="M84:M85"/>
    <mergeCell ref="I87:I88"/>
    <mergeCell ref="K87:K88"/>
    <mergeCell ref="L87:L88"/>
    <mergeCell ref="M87:M88"/>
    <mergeCell ref="I89:I90"/>
    <mergeCell ref="K89:K90"/>
    <mergeCell ref="L89:L90"/>
    <mergeCell ref="B105:B106"/>
    <mergeCell ref="D105:D106"/>
    <mergeCell ref="E105:E106"/>
    <mergeCell ref="F105:F106"/>
    <mergeCell ref="B107:B108"/>
    <mergeCell ref="D107:D108"/>
    <mergeCell ref="E107:E108"/>
    <mergeCell ref="F107:F108"/>
    <mergeCell ref="B109:B110"/>
    <mergeCell ref="D109:D110"/>
    <mergeCell ref="E109:E110"/>
    <mergeCell ref="F109:F110"/>
    <mergeCell ref="B100:B101"/>
    <mergeCell ref="D100:D101"/>
    <mergeCell ref="E100:E101"/>
    <mergeCell ref="F100:F101"/>
    <mergeCell ref="B102:B103"/>
    <mergeCell ref="D102:D103"/>
    <mergeCell ref="E102:E103"/>
    <mergeCell ref="F102:F103"/>
    <mergeCell ref="A104:F104"/>
    <mergeCell ref="B95:B96"/>
    <mergeCell ref="D95:D96"/>
    <mergeCell ref="E95:E96"/>
    <mergeCell ref="F95:F96"/>
    <mergeCell ref="A97:F97"/>
    <mergeCell ref="B98:B99"/>
    <mergeCell ref="D98:D99"/>
    <mergeCell ref="E98:E99"/>
    <mergeCell ref="F98:F99"/>
    <mergeCell ref="A90:F90"/>
    <mergeCell ref="B91:B92"/>
    <mergeCell ref="D91:D92"/>
    <mergeCell ref="E91:E92"/>
    <mergeCell ref="F91:F92"/>
    <mergeCell ref="B93:B94"/>
    <mergeCell ref="D93:D94"/>
    <mergeCell ref="E93:E94"/>
    <mergeCell ref="F93:F94"/>
    <mergeCell ref="A85:F85"/>
    <mergeCell ref="B86:B87"/>
    <mergeCell ref="D86:D87"/>
    <mergeCell ref="E86:E87"/>
    <mergeCell ref="F86:F87"/>
    <mergeCell ref="B88:B89"/>
    <mergeCell ref="D88:D89"/>
    <mergeCell ref="E88:E89"/>
    <mergeCell ref="F88:F89"/>
    <mergeCell ref="A78:F79"/>
    <mergeCell ref="A80:F80"/>
    <mergeCell ref="B81:B82"/>
    <mergeCell ref="D81:D82"/>
    <mergeCell ref="E81:E82"/>
    <mergeCell ref="F81:F82"/>
    <mergeCell ref="B83:B84"/>
    <mergeCell ref="D83:D84"/>
    <mergeCell ref="E83:E84"/>
    <mergeCell ref="F83:F84"/>
    <mergeCell ref="D34:D35"/>
    <mergeCell ref="E34:E35"/>
    <mergeCell ref="F34:F35"/>
    <mergeCell ref="B9:B10"/>
    <mergeCell ref="D9:D10"/>
    <mergeCell ref="E9:E10"/>
    <mergeCell ref="F9:F10"/>
    <mergeCell ref="E14:E15"/>
    <mergeCell ref="E16:E17"/>
    <mergeCell ref="A13:F13"/>
    <mergeCell ref="E21:E22"/>
    <mergeCell ref="B21:B22"/>
    <mergeCell ref="D21:D22"/>
    <mergeCell ref="B18:B19"/>
    <mergeCell ref="D18:D19"/>
    <mergeCell ref="E18:E19"/>
    <mergeCell ref="B16:B17"/>
    <mergeCell ref="B28:B29"/>
    <mergeCell ref="D28:D29"/>
    <mergeCell ref="B32:B33"/>
    <mergeCell ref="B30:B31"/>
    <mergeCell ref="E30:E31"/>
    <mergeCell ref="F28:F29"/>
    <mergeCell ref="B23:B24"/>
    <mergeCell ref="D23:D24"/>
    <mergeCell ref="E23:E24"/>
    <mergeCell ref="F23:F24"/>
    <mergeCell ref="P25:P26"/>
    <mergeCell ref="R25:R26"/>
    <mergeCell ref="P19:P20"/>
    <mergeCell ref="R19:R20"/>
    <mergeCell ref="A20:F20"/>
    <mergeCell ref="R21:R22"/>
    <mergeCell ref="P23:P24"/>
    <mergeCell ref="R23:R24"/>
    <mergeCell ref="B14:B15"/>
    <mergeCell ref="F14:F15"/>
    <mergeCell ref="D16:D17"/>
    <mergeCell ref="D14:D15"/>
    <mergeCell ref="I19:I20"/>
    <mergeCell ref="I12:I13"/>
    <mergeCell ref="I17:I18"/>
    <mergeCell ref="B11:B12"/>
    <mergeCell ref="D11:D12"/>
    <mergeCell ref="E11:E12"/>
    <mergeCell ref="F11:F12"/>
    <mergeCell ref="F18:F19"/>
    <mergeCell ref="S33:S34"/>
    <mergeCell ref="T33:T34"/>
    <mergeCell ref="S35:S36"/>
    <mergeCell ref="P35:P36"/>
    <mergeCell ref="T35:T36"/>
    <mergeCell ref="A27:F27"/>
    <mergeCell ref="B25:B26"/>
    <mergeCell ref="D25:D26"/>
    <mergeCell ref="E25:E26"/>
    <mergeCell ref="F25:F26"/>
    <mergeCell ref="R29:R30"/>
    <mergeCell ref="R35:R36"/>
    <mergeCell ref="R33:R34"/>
    <mergeCell ref="S25:S26"/>
    <mergeCell ref="T25:T26"/>
    <mergeCell ref="P29:P30"/>
    <mergeCell ref="E28:E29"/>
    <mergeCell ref="P33:P34"/>
    <mergeCell ref="E32:E33"/>
    <mergeCell ref="F32:F33"/>
    <mergeCell ref="F30:F31"/>
    <mergeCell ref="D32:D33"/>
    <mergeCell ref="D30:D31"/>
    <mergeCell ref="B34:B35"/>
    <mergeCell ref="S31:S32"/>
    <mergeCell ref="S29:S30"/>
    <mergeCell ref="T29:T30"/>
    <mergeCell ref="P27:P28"/>
    <mergeCell ref="R27:R28"/>
    <mergeCell ref="S27:S28"/>
    <mergeCell ref="T27:T28"/>
    <mergeCell ref="P31:P32"/>
    <mergeCell ref="R31:R32"/>
    <mergeCell ref="T31:T32"/>
    <mergeCell ref="S23:S24"/>
    <mergeCell ref="T23:T24"/>
    <mergeCell ref="F21:F22"/>
    <mergeCell ref="P17:P18"/>
    <mergeCell ref="L14:L15"/>
    <mergeCell ref="M14:M15"/>
    <mergeCell ref="P15:P16"/>
    <mergeCell ref="R17:R18"/>
    <mergeCell ref="M19:M20"/>
    <mergeCell ref="T17:T18"/>
    <mergeCell ref="S19:S20"/>
    <mergeCell ref="T21:T22"/>
    <mergeCell ref="S21:S22"/>
    <mergeCell ref="K21:K22"/>
    <mergeCell ref="L21:L22"/>
    <mergeCell ref="M21:M22"/>
    <mergeCell ref="F16:F17"/>
    <mergeCell ref="P21:P22"/>
    <mergeCell ref="P13:P14"/>
    <mergeCell ref="I21:I22"/>
    <mergeCell ref="I14:I15"/>
    <mergeCell ref="K14:K15"/>
    <mergeCell ref="S11:S12"/>
    <mergeCell ref="T11:T12"/>
    <mergeCell ref="T19:T20"/>
    <mergeCell ref="S13:S14"/>
    <mergeCell ref="T13:T14"/>
    <mergeCell ref="S17:S18"/>
    <mergeCell ref="K12:K13"/>
    <mergeCell ref="L12:L13"/>
    <mergeCell ref="M12:M13"/>
    <mergeCell ref="M10:M11"/>
    <mergeCell ref="P11:P12"/>
    <mergeCell ref="L10:L11"/>
    <mergeCell ref="P9:P10"/>
    <mergeCell ref="S15:S16"/>
    <mergeCell ref="T15:T16"/>
    <mergeCell ref="R11:R12"/>
    <mergeCell ref="R15:R16"/>
    <mergeCell ref="R13:R14"/>
    <mergeCell ref="K19:K20"/>
    <mergeCell ref="L19:L20"/>
    <mergeCell ref="K17:K18"/>
    <mergeCell ref="L17:L18"/>
    <mergeCell ref="M17:M18"/>
    <mergeCell ref="K10:K11"/>
    <mergeCell ref="T7:T8"/>
    <mergeCell ref="M5:M6"/>
    <mergeCell ref="A1:F2"/>
    <mergeCell ref="H1:M2"/>
    <mergeCell ref="B4:B5"/>
    <mergeCell ref="D4:D5"/>
    <mergeCell ref="E4:E5"/>
    <mergeCell ref="R9:R10"/>
    <mergeCell ref="S9:S10"/>
    <mergeCell ref="T9:T10"/>
    <mergeCell ref="P7:P8"/>
    <mergeCell ref="R7:R8"/>
    <mergeCell ref="S7:S8"/>
    <mergeCell ref="I10:I11"/>
    <mergeCell ref="O1:T2"/>
    <mergeCell ref="T3:T4"/>
    <mergeCell ref="S3:S4"/>
    <mergeCell ref="S5:S6"/>
    <mergeCell ref="T5:T6"/>
    <mergeCell ref="P5:P6"/>
    <mergeCell ref="P3:P4"/>
    <mergeCell ref="R3:R4"/>
    <mergeCell ref="R5:R6"/>
    <mergeCell ref="F4:F5"/>
    <mergeCell ref="M3:M4"/>
    <mergeCell ref="B6:B7"/>
    <mergeCell ref="D6:D7"/>
    <mergeCell ref="I5:I6"/>
    <mergeCell ref="A3:F3"/>
    <mergeCell ref="I3:I4"/>
    <mergeCell ref="K3:K4"/>
    <mergeCell ref="L3:L4"/>
    <mergeCell ref="K5:K6"/>
    <mergeCell ref="L5:L6"/>
    <mergeCell ref="E6:E7"/>
    <mergeCell ref="F6:F7"/>
    <mergeCell ref="I7:I8"/>
    <mergeCell ref="K7:K8"/>
    <mergeCell ref="L7:L8"/>
    <mergeCell ref="M7:M8"/>
    <mergeCell ref="A8:F8"/>
  </mergeCells>
  <phoneticPr fontId="48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">
    <tabColor indexed="13"/>
  </sheetPr>
  <dimension ref="A1:Y1063"/>
  <sheetViews>
    <sheetView zoomScale="85" zoomScaleNormal="85" zoomScalePageLayoutView="70" workbookViewId="0">
      <selection activeCell="G16" sqref="G16:G17"/>
    </sheetView>
  </sheetViews>
  <sheetFormatPr defaultColWidth="0" defaultRowHeight="15" zeroHeight="1" x14ac:dyDescent="0.25"/>
  <cols>
    <col min="1" max="1" width="6" customWidth="1"/>
    <col min="2" max="2" width="21.85546875" style="7" customWidth="1"/>
    <col min="3" max="3" width="24.7109375" style="178" customWidth="1"/>
    <col min="4" max="4" width="8.7109375" style="178" customWidth="1"/>
    <col min="5" max="5" width="24.7109375" style="178" customWidth="1"/>
    <col min="6" max="6" width="8.7109375" customWidth="1"/>
    <col min="7" max="7" width="24" customWidth="1"/>
    <col min="8" max="8" width="9" style="3" customWidth="1"/>
    <col min="9" max="9" width="6.5703125" style="5" customWidth="1"/>
    <col min="10" max="11" width="7.28515625" customWidth="1"/>
    <col min="12" max="12" width="12.28515625" customWidth="1"/>
    <col min="13" max="13" width="12.7109375" customWidth="1"/>
    <col min="14" max="14" width="22.42578125" customWidth="1"/>
    <col min="15" max="15" width="11.7109375" customWidth="1"/>
    <col min="16" max="16" width="14.140625" customWidth="1"/>
    <col min="17" max="17" width="6.28515625" customWidth="1"/>
    <col min="18" max="18" width="17.28515625" customWidth="1"/>
    <col min="19" max="19" width="12.42578125" customWidth="1"/>
    <col min="20" max="20" width="4.5703125" style="28" customWidth="1"/>
    <col min="21" max="21" width="9.140625" style="28" hidden="1" customWidth="1"/>
    <col min="22" max="25" width="9.140625" style="29" hidden="1" customWidth="1"/>
    <col min="26" max="16384" width="9.140625" hidden="1"/>
  </cols>
  <sheetData>
    <row r="1" spans="1:21" ht="15.75" customHeight="1" x14ac:dyDescent="0.25">
      <c r="A1" s="316">
        <f>DATE(K1,J1,1)</f>
        <v>43831</v>
      </c>
      <c r="B1" s="316"/>
      <c r="C1" s="316"/>
      <c r="D1" s="316"/>
      <c r="E1" s="316"/>
      <c r="F1" s="316"/>
      <c r="G1" s="316"/>
      <c r="H1" s="316"/>
      <c r="I1" s="8"/>
      <c r="J1" s="41">
        <v>1</v>
      </c>
      <c r="K1" s="42">
        <v>2020</v>
      </c>
      <c r="L1" s="43" t="s">
        <v>24</v>
      </c>
      <c r="M1" s="44" t="s">
        <v>25</v>
      </c>
      <c r="N1" s="44" t="s">
        <v>91</v>
      </c>
      <c r="O1" s="44" t="s">
        <v>104</v>
      </c>
      <c r="P1" s="45" t="s">
        <v>26</v>
      </c>
      <c r="Q1" s="46"/>
      <c r="R1" s="36"/>
      <c r="S1" s="36"/>
      <c r="T1" s="72"/>
      <c r="U1" s="77"/>
    </row>
    <row r="2" spans="1:21" ht="13.5" customHeight="1" x14ac:dyDescent="0.25">
      <c r="A2" s="367"/>
      <c r="B2" s="368" t="s">
        <v>34</v>
      </c>
      <c r="C2" s="168" t="s">
        <v>39</v>
      </c>
      <c r="D2" s="370" t="s">
        <v>36</v>
      </c>
      <c r="E2" s="168" t="s">
        <v>37</v>
      </c>
      <c r="F2" s="368" t="s">
        <v>36</v>
      </c>
      <c r="G2" s="369" t="s">
        <v>35</v>
      </c>
      <c r="H2" s="315" t="s">
        <v>40</v>
      </c>
      <c r="I2" s="8"/>
      <c r="J2" s="364">
        <f>A1</f>
        <v>43831</v>
      </c>
      <c r="K2" s="365"/>
      <c r="L2" s="47" t="str">
        <f>IF(IF(D4,D4,F4) = 0, "",IF(D4,D4,F4))</f>
        <v/>
      </c>
      <c r="M2" s="48" t="str">
        <f>IFERROR(IF(LOOKUP(9E+307,F4:F33)&gt;LOOKUP(9E+307,D4:D33),LOOKUP(9E+307,F4:F33),LOOKUP(9E+307,D4:D33)),"")</f>
        <v/>
      </c>
      <c r="N2" s="49" t="str">
        <f>IF(AND(NOT(ISERR(M2-L2)),NOT(AND(ISBLANK(M2),ISBLANK(L2)))),IF(M2&lt;0.166666667,1-L2+M2,M2-L2),"")</f>
        <v/>
      </c>
      <c r="O2" s="49" t="str">
        <f>IF(F34 = 0, "−", F34)</f>
        <v>−</v>
      </c>
      <c r="P2" s="50" t="str">
        <f>IF(H34 = 0, "−", H34)</f>
        <v>−</v>
      </c>
      <c r="Q2" s="51"/>
      <c r="R2" s="36"/>
      <c r="S2" s="36"/>
      <c r="T2" s="72"/>
      <c r="U2" s="77"/>
    </row>
    <row r="3" spans="1:21" ht="13.5" customHeight="1" x14ac:dyDescent="0.25">
      <c r="A3" s="319"/>
      <c r="B3" s="308"/>
      <c r="C3" s="169" t="s">
        <v>38</v>
      </c>
      <c r="D3" s="323"/>
      <c r="E3" s="169" t="s">
        <v>38</v>
      </c>
      <c r="F3" s="308"/>
      <c r="G3" s="314"/>
      <c r="H3" s="315"/>
      <c r="I3" s="8"/>
      <c r="J3" s="281">
        <f>A35</f>
        <v>43832</v>
      </c>
      <c r="K3" s="282"/>
      <c r="L3" s="47" t="str">
        <f>IF(IF(D38,D38,F38) = 0, "",IF(D38,D38,F38))</f>
        <v/>
      </c>
      <c r="M3" s="48" t="str">
        <f>IFERROR(IF(LOOKUP(9E+307,F38:F67)&gt;LOOKUP(9E+307,D38:D67),LOOKUP(9E+307,F38:F67),LOOKUP(9E+307,D38:D67)),"")</f>
        <v/>
      </c>
      <c r="N3" s="49" t="str">
        <f t="shared" ref="N3:N31" si="0">IF(AND(NOT(ISERR(M3-L3)),NOT(AND(ISBLANK(M3),ISBLANK(L3)))),IF(M3&lt;0.166666667,1-L3+M3,M3-L3),"")</f>
        <v/>
      </c>
      <c r="O3" s="52" t="str">
        <f>IF(F68 = 0, "−", F68)</f>
        <v>−</v>
      </c>
      <c r="P3" s="53" t="str">
        <f>IF(H68 = 0, "−", H68)</f>
        <v>−</v>
      </c>
      <c r="Q3" s="51"/>
      <c r="R3" s="36"/>
      <c r="S3" s="36"/>
      <c r="T3" s="72"/>
      <c r="U3" s="77"/>
    </row>
    <row r="4" spans="1:21" ht="13.5" customHeight="1" x14ac:dyDescent="0.25">
      <c r="A4" s="307">
        <v>1</v>
      </c>
      <c r="B4" s="307"/>
      <c r="C4" s="170" t="s">
        <v>43</v>
      </c>
      <c r="D4" s="309"/>
      <c r="E4" s="170" t="s">
        <v>44</v>
      </c>
      <c r="F4" s="311"/>
      <c r="G4" s="313"/>
      <c r="H4" s="315"/>
      <c r="I4" s="8"/>
      <c r="J4" s="281">
        <f>A69</f>
        <v>43833</v>
      </c>
      <c r="K4" s="282"/>
      <c r="L4" s="47" t="str">
        <f>IF(IF(D72,D72,F72) = 0, "",IF(D72,D72,F72))</f>
        <v/>
      </c>
      <c r="M4" s="48" t="str">
        <f>IFERROR(IF(LOOKUP(9E+307,F72:F101)&gt;LOOKUP(9E+307,D72:D101),LOOKUP(9E+307,F72:F101),LOOKUP(9E+307,D72:D101)),"")</f>
        <v/>
      </c>
      <c r="N4" s="49" t="str">
        <f t="shared" si="0"/>
        <v/>
      </c>
      <c r="O4" s="49" t="str">
        <f>IF(F102 = 0, "−", F102)</f>
        <v>−</v>
      </c>
      <c r="P4" s="50" t="str">
        <f>IF(H102 = 0, "−", H102)</f>
        <v>−</v>
      </c>
      <c r="Q4" s="51"/>
      <c r="R4" s="36"/>
      <c r="S4" s="36"/>
      <c r="T4" s="72"/>
      <c r="U4" s="77"/>
    </row>
    <row r="5" spans="1:21" ht="13.5" customHeight="1" x14ac:dyDescent="0.25">
      <c r="A5" s="308"/>
      <c r="B5" s="308"/>
      <c r="C5" s="171" t="str">
        <f>IFERROR(VLOOKUP(C4,Списки!$E:$F,2,0)," ")</f>
        <v>SAVUSHKINA ST 128</v>
      </c>
      <c r="D5" s="310"/>
      <c r="E5" s="171" t="str">
        <f>IFERROR(VLOOKUP(E4,Списки!$E:$F,2,0)," ")</f>
        <v>LEVASHOVSKOE HWY 20</v>
      </c>
      <c r="F5" s="312"/>
      <c r="G5" s="314"/>
      <c r="H5" s="315"/>
      <c r="I5" s="8"/>
      <c r="J5" s="281">
        <f>A103</f>
        <v>43834</v>
      </c>
      <c r="K5" s="282"/>
      <c r="L5" s="47" t="str">
        <f>IF(IF(D106,D106,F106) = 0, "",IF(D106,D106,F106))</f>
        <v/>
      </c>
      <c r="M5" s="48" t="str">
        <f>IFERROR(IF(LOOKUP(9E+307,F106:F135)&gt;LOOKUP(9E+307,D106:D135),LOOKUP(9E+307,F106:F135),LOOKUP(9E+307,D106:D135)),"")</f>
        <v/>
      </c>
      <c r="N5" s="49" t="str">
        <f t="shared" si="0"/>
        <v/>
      </c>
      <c r="O5" s="52" t="str">
        <f>IF(F136 = 0, "−", F136)</f>
        <v>−</v>
      </c>
      <c r="P5" s="53" t="str">
        <f>IF(H136 = 0, "−", H136)</f>
        <v>−</v>
      </c>
      <c r="Q5" s="51"/>
      <c r="R5" s="36"/>
      <c r="S5" s="36"/>
      <c r="T5" s="72"/>
      <c r="U5" s="77"/>
    </row>
    <row r="6" spans="1:21" ht="13.5" customHeight="1" x14ac:dyDescent="0.25">
      <c r="A6" s="307">
        <v>2</v>
      </c>
      <c r="B6" s="307"/>
      <c r="C6" s="170" t="s">
        <v>44</v>
      </c>
      <c r="D6" s="309"/>
      <c r="E6" s="170"/>
      <c r="F6" s="311"/>
      <c r="G6" s="313"/>
      <c r="H6" s="315"/>
      <c r="I6" s="8"/>
      <c r="J6" s="281">
        <f>A137</f>
        <v>43835</v>
      </c>
      <c r="K6" s="282"/>
      <c r="L6" s="47" t="str">
        <f>IF(IF(D140,D140,F140) = 0, "",IF(D140,D140,F140))</f>
        <v/>
      </c>
      <c r="M6" s="48" t="str">
        <f>IFERROR(IF(LOOKUP(9E+307,F140:F169)&gt;LOOKUP(9E+307,D140:D169),LOOKUP(9E+307,F140:F169),LOOKUP(9E+307,D140:D169)),"")</f>
        <v/>
      </c>
      <c r="N6" s="49" t="str">
        <f t="shared" si="0"/>
        <v/>
      </c>
      <c r="O6" s="49" t="str">
        <f>IF(F170 = 0, "−", F170)</f>
        <v>−</v>
      </c>
      <c r="P6" s="50" t="str">
        <f>IF(H170 = 0, "−", H170)</f>
        <v>−</v>
      </c>
      <c r="Q6" s="51"/>
      <c r="R6" s="36"/>
      <c r="S6" s="36"/>
      <c r="T6" s="72"/>
      <c r="U6" s="77"/>
    </row>
    <row r="7" spans="1:21" ht="13.5" customHeight="1" x14ac:dyDescent="0.25">
      <c r="A7" s="308"/>
      <c r="B7" s="308"/>
      <c r="C7" s="171" t="str">
        <f>IFERROR(VLOOKUP(C6,Списки!$E:$F,2,0)," ")</f>
        <v>LEVASHOVSKOE HWY 20</v>
      </c>
      <c r="D7" s="310"/>
      <c r="E7" s="171" t="str">
        <f>IFERROR(VLOOKUP(E6,Списки!$E:$F,2,0)," ")</f>
        <v xml:space="preserve"> </v>
      </c>
      <c r="F7" s="312"/>
      <c r="G7" s="314"/>
      <c r="H7" s="315"/>
      <c r="I7" s="8"/>
      <c r="J7" s="281">
        <f>A171</f>
        <v>43836</v>
      </c>
      <c r="K7" s="282"/>
      <c r="L7" s="47" t="str">
        <f>IF(IF(D174,D174,F174) = 0, "",IF(D174,D174,F174))</f>
        <v/>
      </c>
      <c r="M7" s="48" t="str">
        <f>IFERROR(IF(LOOKUP(9E+307,F174:F203)&gt;LOOKUP(9E+307,D174:D203),LOOKUP(9E+307,F174:F203),LOOKUP(9E+307,D174:D203)),"")</f>
        <v/>
      </c>
      <c r="N7" s="49" t="str">
        <f t="shared" si="0"/>
        <v/>
      </c>
      <c r="O7" s="49" t="str">
        <f>IF(F204 = 0, "−", F204)</f>
        <v>−</v>
      </c>
      <c r="P7" s="50" t="str">
        <f>IF(H204 = 0, "−", H204)</f>
        <v>−</v>
      </c>
      <c r="Q7" s="51"/>
      <c r="R7" s="36"/>
      <c r="S7" s="36"/>
      <c r="T7" s="72"/>
      <c r="U7" s="77"/>
    </row>
    <row r="8" spans="1:21" ht="13.5" customHeight="1" x14ac:dyDescent="0.25">
      <c r="A8" s="307">
        <v>3</v>
      </c>
      <c r="B8" s="307"/>
      <c r="C8" s="170"/>
      <c r="D8" s="309"/>
      <c r="E8" s="170"/>
      <c r="F8" s="311"/>
      <c r="G8" s="313"/>
      <c r="H8" s="315"/>
      <c r="I8" s="8"/>
      <c r="J8" s="281">
        <f>A205</f>
        <v>43837</v>
      </c>
      <c r="K8" s="282"/>
      <c r="L8" s="47" t="str">
        <f>IF(IF(D208,D208,F208) = 0, "",IF(D208,D208,F208))</f>
        <v/>
      </c>
      <c r="M8" s="48" t="str">
        <f>IFERROR(IF(LOOKUP(9E+307,F208:F237)&gt;LOOKUP(9E+307,D208:D237),LOOKUP(9E+307,F208:F237),LOOKUP(9E+307,D208:D237)),"")</f>
        <v/>
      </c>
      <c r="N8" s="49" t="str">
        <f t="shared" si="0"/>
        <v/>
      </c>
      <c r="O8" s="49" t="str">
        <f>IF(F238 = 0, "−", F238)</f>
        <v>−</v>
      </c>
      <c r="P8" s="50" t="str">
        <f>IF(H238 = 0, "−", H238)</f>
        <v>−</v>
      </c>
      <c r="Q8" s="51"/>
      <c r="R8" s="36"/>
      <c r="S8" s="36"/>
      <c r="T8" s="72"/>
      <c r="U8" s="77"/>
    </row>
    <row r="9" spans="1:21" ht="13.5" customHeight="1" x14ac:dyDescent="0.25">
      <c r="A9" s="308"/>
      <c r="B9" s="308"/>
      <c r="C9" s="171" t="str">
        <f>IFERROR(VLOOKUP(C8,Списки!$E:$F,2,0)," ")</f>
        <v xml:space="preserve"> </v>
      </c>
      <c r="D9" s="310"/>
      <c r="E9" s="171" t="str">
        <f>IFERROR(VLOOKUP(E8,Списки!$E:$F,2,0)," ")</f>
        <v xml:space="preserve"> </v>
      </c>
      <c r="F9" s="312"/>
      <c r="G9" s="314"/>
      <c r="H9" s="315"/>
      <c r="I9" s="8"/>
      <c r="J9" s="281">
        <f>A239</f>
        <v>43838</v>
      </c>
      <c r="K9" s="282"/>
      <c r="L9" s="47" t="str">
        <f>IF(IF(D242,D242,F242) = 0, "",IF(D242,D242,F242))</f>
        <v/>
      </c>
      <c r="M9" s="48" t="str">
        <f>IFERROR(IF(LOOKUP(9E+307,F242:F271)&gt;LOOKUP(9E+307,D242:D271),LOOKUP(9E+307,F242:F271),LOOKUP(9E+307,D242:D271)),"")</f>
        <v/>
      </c>
      <c r="N9" s="49" t="str">
        <f t="shared" si="0"/>
        <v/>
      </c>
      <c r="O9" s="49" t="str">
        <f>IF(F272 = 0, "−", F272)</f>
        <v>−</v>
      </c>
      <c r="P9" s="50" t="str">
        <f>IF(H272 = 0, "−", H272)</f>
        <v>−</v>
      </c>
      <c r="Q9" s="51"/>
      <c r="R9" s="36"/>
      <c r="S9" s="36"/>
      <c r="T9" s="72"/>
      <c r="U9" s="77"/>
    </row>
    <row r="10" spans="1:21" ht="13.5" customHeight="1" x14ac:dyDescent="0.25">
      <c r="A10" s="307">
        <v>4</v>
      </c>
      <c r="B10" s="307"/>
      <c r="C10" s="170"/>
      <c r="D10" s="309"/>
      <c r="E10" s="170"/>
      <c r="F10" s="311"/>
      <c r="G10" s="313"/>
      <c r="H10" s="315"/>
      <c r="I10" s="8"/>
      <c r="J10" s="281">
        <f>A273</f>
        <v>43839</v>
      </c>
      <c r="K10" s="282"/>
      <c r="L10" s="47" t="str">
        <f>IF(IF(D276,D276,F276) = 0, "",IF(D276,D276,F276))</f>
        <v/>
      </c>
      <c r="M10" s="48" t="str">
        <f>IFERROR(IF(LOOKUP(9E+307,F276:F305)&gt;LOOKUP(9E+307,D276:D305),LOOKUP(9E+307,F276:F305),LOOKUP(9E+307,D276:D305)),"")</f>
        <v/>
      </c>
      <c r="N10" s="49" t="str">
        <f t="shared" si="0"/>
        <v/>
      </c>
      <c r="O10" s="49" t="str">
        <f>IF(F306 = 0, "−", F306)</f>
        <v>−</v>
      </c>
      <c r="P10" s="50" t="str">
        <f>IF(H306 = 0, "−", H306)</f>
        <v>−</v>
      </c>
      <c r="Q10" s="51"/>
      <c r="R10" s="36"/>
      <c r="S10" s="36"/>
      <c r="T10" s="72"/>
      <c r="U10" s="77"/>
    </row>
    <row r="11" spans="1:21" ht="13.5" customHeight="1" x14ac:dyDescent="0.25">
      <c r="A11" s="308"/>
      <c r="B11" s="308"/>
      <c r="C11" s="171" t="str">
        <f>IFERROR(VLOOKUP(C10,Списки!$E:$F,2,0)," ")</f>
        <v xml:space="preserve"> </v>
      </c>
      <c r="D11" s="310"/>
      <c r="E11" s="171" t="str">
        <f>IFERROR(VLOOKUP(E10,Списки!$E:$F,2,0)," ")</f>
        <v xml:space="preserve"> </v>
      </c>
      <c r="F11" s="312"/>
      <c r="G11" s="314"/>
      <c r="H11" s="315"/>
      <c r="I11" s="8"/>
      <c r="J11" s="281">
        <f>A307</f>
        <v>43840</v>
      </c>
      <c r="K11" s="282"/>
      <c r="L11" s="47" t="str">
        <f>IF(IF(D310,D310,F310) = 0, "",IF(D310,D310,F310))</f>
        <v/>
      </c>
      <c r="M11" s="48" t="str">
        <f>IFERROR(IF(LOOKUP(9E+307,F310:F339)&gt;LOOKUP(9E+307,D310:D339),LOOKUP(9E+307,F310:F339),LOOKUP(9E+307,D310:D339)),"")</f>
        <v/>
      </c>
      <c r="N11" s="49" t="str">
        <f t="shared" si="0"/>
        <v/>
      </c>
      <c r="O11" s="49" t="str">
        <f>IF(F340 = 0, "−", F340)</f>
        <v>−</v>
      </c>
      <c r="P11" s="50" t="str">
        <f>IF(H340 = 0, "−", H340)</f>
        <v>−</v>
      </c>
      <c r="Q11" s="51"/>
      <c r="R11" s="36"/>
      <c r="S11" s="36"/>
      <c r="T11" s="72"/>
      <c r="U11" s="77"/>
    </row>
    <row r="12" spans="1:21" ht="13.5" customHeight="1" x14ac:dyDescent="0.25">
      <c r="A12" s="307">
        <v>5</v>
      </c>
      <c r="B12" s="307"/>
      <c r="C12" s="170"/>
      <c r="D12" s="309"/>
      <c r="E12" s="172"/>
      <c r="F12" s="311"/>
      <c r="G12" s="313"/>
      <c r="H12" s="315"/>
      <c r="I12" s="8"/>
      <c r="J12" s="281">
        <f>A341</f>
        <v>43841</v>
      </c>
      <c r="K12" s="282"/>
      <c r="L12" s="47" t="str">
        <f>IF(IF(D344,D344,F344) = 0, "",IF(D344,D344,F344))</f>
        <v/>
      </c>
      <c r="M12" s="48" t="str">
        <f>IFERROR(IF(LOOKUP(9E+307,F344:F373)&gt;LOOKUP(9E+307,D344:D373),LOOKUP(9E+307,F344:F373),LOOKUP(9E+307,D344:D373)),"")</f>
        <v/>
      </c>
      <c r="N12" s="49" t="str">
        <f t="shared" si="0"/>
        <v/>
      </c>
      <c r="O12" s="49" t="str">
        <f>IF(F374 = 0, "−", F374)</f>
        <v>−</v>
      </c>
      <c r="P12" s="50" t="str">
        <f>IF(H374 = 0, "−", H374)</f>
        <v>−</v>
      </c>
      <c r="Q12" s="51"/>
      <c r="R12" s="158"/>
      <c r="S12" s="36"/>
      <c r="T12" s="72"/>
      <c r="U12" s="77"/>
    </row>
    <row r="13" spans="1:21" ht="13.5" customHeight="1" x14ac:dyDescent="0.25">
      <c r="A13" s="308"/>
      <c r="B13" s="308"/>
      <c r="C13" s="171" t="str">
        <f>IFERROR(VLOOKUP(C12,Списки!$E:$F,2,0)," ")</f>
        <v xml:space="preserve"> </v>
      </c>
      <c r="D13" s="310"/>
      <c r="E13" s="171" t="str">
        <f>IFERROR(VLOOKUP(E12,Списки!$E:$F,2,0)," ")</f>
        <v xml:space="preserve"> </v>
      </c>
      <c r="F13" s="312"/>
      <c r="G13" s="314"/>
      <c r="H13" s="315"/>
      <c r="I13" s="8"/>
      <c r="J13" s="281">
        <f>A375</f>
        <v>43842</v>
      </c>
      <c r="K13" s="282"/>
      <c r="L13" s="47" t="str">
        <f>IF(IF(D378,D378,F378) = 0, "",IF(D378,D378,F378))</f>
        <v/>
      </c>
      <c r="M13" s="48" t="str">
        <f>IFERROR(IF(LOOKUP(9E+307,F378:F407)&gt;LOOKUP(9E+307,D378:D407),LOOKUP(9E+307,F378:F407),LOOKUP(9E+307,D378:D407)),"")</f>
        <v/>
      </c>
      <c r="N13" s="49" t="str">
        <f t="shared" si="0"/>
        <v/>
      </c>
      <c r="O13" s="49" t="str">
        <f>IF(F408 = 0, "−", F408)</f>
        <v>−</v>
      </c>
      <c r="P13" s="50" t="str">
        <f>IF(H408 = 0, "−", H408)</f>
        <v>−</v>
      </c>
      <c r="Q13" s="51"/>
      <c r="R13" s="157" t="s">
        <v>290</v>
      </c>
      <c r="S13" s="60" t="str">
        <f>IF(S15 = 0, "", S15 - S14)</f>
        <v/>
      </c>
      <c r="T13" s="72"/>
      <c r="U13" s="77"/>
    </row>
    <row r="14" spans="1:21" ht="13.5" customHeight="1" x14ac:dyDescent="0.25">
      <c r="A14" s="307">
        <v>6</v>
      </c>
      <c r="B14" s="307"/>
      <c r="C14" s="170"/>
      <c r="D14" s="309"/>
      <c r="E14" s="170"/>
      <c r="F14" s="311"/>
      <c r="G14" s="313"/>
      <c r="H14" s="315"/>
      <c r="I14" s="8"/>
      <c r="J14" s="281">
        <f>A409</f>
        <v>43843</v>
      </c>
      <c r="K14" s="282"/>
      <c r="L14" s="47" t="str">
        <f>IF(IF(D412,D412,F412) = 0, "",IF(D412,D412,F412))</f>
        <v/>
      </c>
      <c r="M14" s="48" t="str">
        <f>IFERROR(IF(LOOKUP(9E+307,F412:F441)&gt;LOOKUP(9E+307,D412:D441),LOOKUP(9E+307,F412:F441),LOOKUP(9E+307,D412:D441)),"")</f>
        <v/>
      </c>
      <c r="N14" s="49" t="str">
        <f t="shared" si="0"/>
        <v/>
      </c>
      <c r="O14" s="49" t="str">
        <f>IF(F442 = 0, "−", F442)</f>
        <v>−</v>
      </c>
      <c r="P14" s="50" t="str">
        <f>IF(H442 = 0, "−", H442)</f>
        <v>−</v>
      </c>
      <c r="Q14" s="51"/>
      <c r="R14" s="157" t="s">
        <v>291</v>
      </c>
      <c r="S14" s="60">
        <v>34985</v>
      </c>
      <c r="T14" s="72"/>
      <c r="U14" s="77"/>
    </row>
    <row r="15" spans="1:21" ht="13.5" customHeight="1" x14ac:dyDescent="0.25">
      <c r="A15" s="308"/>
      <c r="B15" s="308"/>
      <c r="C15" s="171" t="str">
        <f>IFERROR(VLOOKUP(C14,Списки!$E:$F,2,0)," ")</f>
        <v xml:space="preserve"> </v>
      </c>
      <c r="D15" s="310"/>
      <c r="E15" s="171" t="str">
        <f>IFERROR(VLOOKUP(E14,Списки!$E:$F,2,0)," ")</f>
        <v xml:space="preserve"> </v>
      </c>
      <c r="F15" s="312"/>
      <c r="G15" s="314"/>
      <c r="H15" s="315"/>
      <c r="I15" s="8"/>
      <c r="J15" s="281">
        <f>A443</f>
        <v>43844</v>
      </c>
      <c r="K15" s="282"/>
      <c r="L15" s="47" t="str">
        <f>IF(IF(D446,D446,F446) = 0, "",IF(D446,D446,F446))</f>
        <v/>
      </c>
      <c r="M15" s="48" t="str">
        <f>IFERROR(IF(LOOKUP(9E+307,F446:F475)&gt;LOOKUP(9E+307,D446:D475),LOOKUP(9E+307,F446:F475),LOOKUP(9E+307,D446:D475)),"")</f>
        <v/>
      </c>
      <c r="N15" s="49" t="str">
        <f t="shared" si="0"/>
        <v/>
      </c>
      <c r="O15" s="49" t="str">
        <f>IF(F476 = 0, "−", F476)</f>
        <v>−</v>
      </c>
      <c r="P15" s="50" t="str">
        <f>IF(H476 = 0, "−", H476)</f>
        <v>−</v>
      </c>
      <c r="Q15" s="51"/>
      <c r="R15" s="157" t="s">
        <v>292</v>
      </c>
      <c r="S15" s="60"/>
      <c r="T15" s="72"/>
      <c r="U15" s="77"/>
    </row>
    <row r="16" spans="1:21" ht="13.5" customHeight="1" x14ac:dyDescent="0.25">
      <c r="A16" s="307">
        <v>7</v>
      </c>
      <c r="B16" s="307"/>
      <c r="C16" s="170"/>
      <c r="D16" s="309"/>
      <c r="E16" s="170"/>
      <c r="F16" s="311"/>
      <c r="G16" s="313"/>
      <c r="H16" s="315"/>
      <c r="I16" s="8"/>
      <c r="J16" s="281">
        <f>A477</f>
        <v>43845</v>
      </c>
      <c r="K16" s="282"/>
      <c r="L16" s="47" t="str">
        <f>IF(IF(D480,D480,F480) = 0, "",IF(D480,D480,F480))</f>
        <v/>
      </c>
      <c r="M16" s="48" t="str">
        <f>IFERROR(IF(LOOKUP(9E+307,F480:F509)&gt;LOOKUP(9E+307,D480:D509),LOOKUP(9E+307,F480:F509),LOOKUP(9E+307,D480:D509)),"")</f>
        <v/>
      </c>
      <c r="N16" s="49" t="str">
        <f t="shared" si="0"/>
        <v/>
      </c>
      <c r="O16" s="49" t="str">
        <f>IF(F510 = 0, "−", F510)</f>
        <v>−</v>
      </c>
      <c r="P16" s="50" t="str">
        <f>IF(H510 = 0, "−", H510)</f>
        <v>−</v>
      </c>
      <c r="Q16" s="51"/>
      <c r="R16" s="36"/>
      <c r="S16" s="36"/>
      <c r="T16" s="72"/>
      <c r="U16" s="77"/>
    </row>
    <row r="17" spans="1:21" ht="13.5" customHeight="1" x14ac:dyDescent="0.25">
      <c r="A17" s="308"/>
      <c r="B17" s="308"/>
      <c r="C17" s="171" t="str">
        <f>IFERROR(VLOOKUP(C16,Списки!$E:$F,2,0)," ")</f>
        <v xml:space="preserve"> </v>
      </c>
      <c r="D17" s="310"/>
      <c r="E17" s="171" t="str">
        <f>IFERROR(VLOOKUP(E16,Списки!$E:$F,2,0)," ")</f>
        <v xml:space="preserve"> </v>
      </c>
      <c r="F17" s="312"/>
      <c r="G17" s="314"/>
      <c r="H17" s="315"/>
      <c r="I17" s="8"/>
      <c r="J17" s="281">
        <f>A511</f>
        <v>43846</v>
      </c>
      <c r="K17" s="282"/>
      <c r="L17" s="47" t="str">
        <f>IF(IF(D514,D514,F514) = 0, "",IF(D514,D514,F514))</f>
        <v/>
      </c>
      <c r="M17" s="48" t="str">
        <f>IFERROR(IF(LOOKUP(9E+307,F514:F543)&gt;LOOKUP(9E+307,D514:D543),LOOKUP(9E+307,F514:F543),LOOKUP(9E+307,D514:D543)),"")</f>
        <v/>
      </c>
      <c r="N17" s="49" t="str">
        <f t="shared" si="0"/>
        <v/>
      </c>
      <c r="O17" s="49" t="str">
        <f>IF(F544 = 0, "−", F544)</f>
        <v>−</v>
      </c>
      <c r="P17" s="50" t="str">
        <f>IF(H544 = 0, "−", H544)</f>
        <v>−</v>
      </c>
      <c r="Q17" s="51"/>
      <c r="R17" s="54" t="s">
        <v>30</v>
      </c>
      <c r="S17" s="55">
        <f>O33</f>
        <v>0</v>
      </c>
      <c r="T17" s="72"/>
      <c r="U17" s="77"/>
    </row>
    <row r="18" spans="1:21" ht="13.5" customHeight="1" x14ac:dyDescent="0.25">
      <c r="A18" s="307">
        <v>8</v>
      </c>
      <c r="B18" s="307"/>
      <c r="C18" s="170"/>
      <c r="D18" s="309"/>
      <c r="E18" s="170"/>
      <c r="F18" s="311"/>
      <c r="G18" s="313"/>
      <c r="H18" s="315"/>
      <c r="I18" s="8"/>
      <c r="J18" s="281">
        <f>A545</f>
        <v>43847</v>
      </c>
      <c r="K18" s="282"/>
      <c r="L18" s="47" t="str">
        <f>IF(IF(D548,D548,F548) = 0, "",IF(D548,D548,F548))</f>
        <v/>
      </c>
      <c r="M18" s="48" t="str">
        <f>IFERROR(IF(LOOKUP(9E+307,F548:F577)&gt;LOOKUP(9E+307,D548:D577),LOOKUP(9E+307,F548:F577),LOOKUP(9E+307,D548:D577)),"")</f>
        <v/>
      </c>
      <c r="N18" s="49" t="str">
        <f t="shared" si="0"/>
        <v/>
      </c>
      <c r="O18" s="49" t="str">
        <f>IF(F578 = 0, "−", F578)</f>
        <v>−</v>
      </c>
      <c r="P18" s="50" t="str">
        <f>IF(H578 = 0, "−", H578)</f>
        <v>−</v>
      </c>
      <c r="Q18" s="51"/>
      <c r="R18" s="56" t="s">
        <v>94</v>
      </c>
      <c r="S18" s="57">
        <f>S17*24*440</f>
        <v>0</v>
      </c>
      <c r="T18" s="72"/>
      <c r="U18" s="77"/>
    </row>
    <row r="19" spans="1:21" ht="13.5" customHeight="1" x14ac:dyDescent="0.25">
      <c r="A19" s="308"/>
      <c r="B19" s="308"/>
      <c r="C19" s="171" t="str">
        <f>IFERROR(VLOOKUP(C18,Списки!$E:$F,2,0)," ")</f>
        <v xml:space="preserve"> </v>
      </c>
      <c r="D19" s="310"/>
      <c r="E19" s="171" t="str">
        <f>IFERROR(VLOOKUP(E18,Списки!$E:$F,2,0)," ")</f>
        <v xml:space="preserve"> </v>
      </c>
      <c r="F19" s="312"/>
      <c r="G19" s="314"/>
      <c r="H19" s="315"/>
      <c r="I19" s="8"/>
      <c r="J19" s="281">
        <f>A579</f>
        <v>43848</v>
      </c>
      <c r="K19" s="282"/>
      <c r="L19" s="47" t="str">
        <f>IF(IF(D582,D582,F582) = 0, "",IF(D582,D582,F582))</f>
        <v/>
      </c>
      <c r="M19" s="48" t="str">
        <f>IFERROR(IF(LOOKUP(9E+307,F582:F611)&gt;LOOKUP(9E+307,D582:D611),LOOKUP(9E+307,F582:F611),LOOKUP(9E+307,D582:D611)),"")</f>
        <v/>
      </c>
      <c r="N19" s="49" t="str">
        <f t="shared" si="0"/>
        <v/>
      </c>
      <c r="O19" s="49" t="str">
        <f>IF(F612 = 0, "−", F612)</f>
        <v>−</v>
      </c>
      <c r="P19" s="50" t="str">
        <f>IF(H612 = 0, "−", H612)</f>
        <v>−</v>
      </c>
      <c r="Q19" s="51"/>
      <c r="R19" s="58"/>
      <c r="S19" s="59"/>
      <c r="T19" s="72"/>
      <c r="U19" s="77"/>
    </row>
    <row r="20" spans="1:21" ht="13.5" customHeight="1" x14ac:dyDescent="0.25">
      <c r="A20" s="307">
        <v>9</v>
      </c>
      <c r="B20" s="307"/>
      <c r="C20" s="170"/>
      <c r="D20" s="309"/>
      <c r="E20" s="170"/>
      <c r="F20" s="311"/>
      <c r="G20" s="313"/>
      <c r="H20" s="315"/>
      <c r="I20" s="8"/>
      <c r="J20" s="281">
        <f>A613</f>
        <v>43849</v>
      </c>
      <c r="K20" s="282"/>
      <c r="L20" s="47" t="str">
        <f>IF(IF(D616,D616,F616) = 0, "",IF(D616,D616,F616))</f>
        <v/>
      </c>
      <c r="M20" s="48" t="str">
        <f>IFERROR(IF(LOOKUP(9E+307,F616:F645)&gt;LOOKUP(9E+307,D616:D645),LOOKUP(9E+307,F616:F645),LOOKUP(9E+307,D616:D645)),"")</f>
        <v/>
      </c>
      <c r="N20" s="49" t="str">
        <f t="shared" si="0"/>
        <v/>
      </c>
      <c r="O20" s="49" t="str">
        <f>IF(F646 = 0, "−", F646)</f>
        <v>−</v>
      </c>
      <c r="P20" s="50" t="str">
        <f>IF(H646 = 0, "−", H646)</f>
        <v>−</v>
      </c>
      <c r="Q20" s="51"/>
      <c r="R20" s="54" t="s">
        <v>96</v>
      </c>
      <c r="S20" s="60">
        <f>P33</f>
        <v>0</v>
      </c>
      <c r="T20" s="72"/>
      <c r="U20" s="77"/>
    </row>
    <row r="21" spans="1:21" ht="13.5" customHeight="1" x14ac:dyDescent="0.25">
      <c r="A21" s="308"/>
      <c r="B21" s="308"/>
      <c r="C21" s="171" t="str">
        <f>IFERROR(VLOOKUP(C20,Списки!$E:$F,2,0)," ")</f>
        <v xml:space="preserve"> </v>
      </c>
      <c r="D21" s="310"/>
      <c r="E21" s="171" t="str">
        <f>IFERROR(VLOOKUP(E20,Списки!$E:$F,2,0)," ")</f>
        <v xml:space="preserve"> </v>
      </c>
      <c r="F21" s="312"/>
      <c r="G21" s="314"/>
      <c r="H21" s="315"/>
      <c r="I21" s="8"/>
      <c r="J21" s="281">
        <f>A647</f>
        <v>43850</v>
      </c>
      <c r="K21" s="282"/>
      <c r="L21" s="47" t="str">
        <f>IF(IF(D650,D650,F650) = 0, "",IF(D650,D650,F650))</f>
        <v/>
      </c>
      <c r="M21" s="48" t="str">
        <f>IFERROR(IF(LOOKUP(9E+307,F650:F679)&gt;LOOKUP(9E+307,D650:D679),LOOKUP(9E+307,F650:F679),LOOKUP(9E+307,D650:D679)),"")</f>
        <v/>
      </c>
      <c r="N21" s="49" t="str">
        <f t="shared" si="0"/>
        <v/>
      </c>
      <c r="O21" s="49" t="str">
        <f>IF(F680 = 0, "−", F680)</f>
        <v>−</v>
      </c>
      <c r="P21" s="50" t="str">
        <f>IF(H680 = 0, "−", H680)</f>
        <v>−</v>
      </c>
      <c r="Q21" s="51"/>
      <c r="R21" s="54" t="s">
        <v>95</v>
      </c>
      <c r="S21" s="61" t="s">
        <v>293</v>
      </c>
      <c r="T21" s="72"/>
      <c r="U21" s="77"/>
    </row>
    <row r="22" spans="1:21" ht="13.5" customHeight="1" x14ac:dyDescent="0.25">
      <c r="A22" s="307">
        <v>10</v>
      </c>
      <c r="B22" s="307"/>
      <c r="C22" s="170"/>
      <c r="D22" s="309"/>
      <c r="E22" s="170"/>
      <c r="F22" s="311"/>
      <c r="G22" s="313"/>
      <c r="H22" s="315"/>
      <c r="I22" s="8"/>
      <c r="J22" s="281">
        <f>A681</f>
        <v>43851</v>
      </c>
      <c r="K22" s="282"/>
      <c r="L22" s="47" t="str">
        <f>IF(IF(D684,D684,F684) = 0, "",IF(D684,D684,F684))</f>
        <v/>
      </c>
      <c r="M22" s="48" t="str">
        <f>IFERROR(IF(LOOKUP(9E+307,F684:F713)&gt;LOOKUP(9E+307,D684:D713),LOOKUP(9E+307,F684:F713),LOOKUP(9E+307,D684:D713)),"")</f>
        <v/>
      </c>
      <c r="N22" s="49" t="str">
        <f t="shared" si="0"/>
        <v/>
      </c>
      <c r="O22" s="49" t="str">
        <f>IF(F714 = 0, "−", F714)</f>
        <v>−</v>
      </c>
      <c r="P22" s="50" t="str">
        <f>IF(H714 = 0, "−", H714)</f>
        <v>−</v>
      </c>
      <c r="Q22" s="51"/>
      <c r="R22" s="56" t="str">
        <f>TEXT(S20,0)&amp;"/8.77*47"</f>
        <v>0/8.77*47</v>
      </c>
      <c r="S22" s="57">
        <f>S20/8.77*47</f>
        <v>0</v>
      </c>
      <c r="T22" s="72"/>
      <c r="U22" s="77"/>
    </row>
    <row r="23" spans="1:21" ht="13.5" customHeight="1" x14ac:dyDescent="0.25">
      <c r="A23" s="308"/>
      <c r="B23" s="308"/>
      <c r="C23" s="171" t="str">
        <f>IFERROR(VLOOKUP(C22,Списки!$E:$F,2,0)," ")</f>
        <v xml:space="preserve"> </v>
      </c>
      <c r="D23" s="310"/>
      <c r="E23" s="171" t="str">
        <f>IFERROR(VLOOKUP(E22,Списки!$E:$F,2,0)," ")</f>
        <v xml:space="preserve"> </v>
      </c>
      <c r="F23" s="312"/>
      <c r="G23" s="314"/>
      <c r="H23" s="315"/>
      <c r="I23" s="8"/>
      <c r="J23" s="281">
        <f>A715</f>
        <v>43852</v>
      </c>
      <c r="K23" s="282"/>
      <c r="L23" s="47" t="str">
        <f>IF(IF(D718,D718,F718) = 0, "",IF(D718,D718,F718))</f>
        <v/>
      </c>
      <c r="M23" s="48" t="str">
        <f>IFERROR(IF(LOOKUP(9E+307,F718:F747)&gt;LOOKUP(9E+307,D718:D747),LOOKUP(9E+307,F718:F747),LOOKUP(9E+307,D718:D747)),"")</f>
        <v/>
      </c>
      <c r="N23" s="49" t="str">
        <f t="shared" si="0"/>
        <v/>
      </c>
      <c r="O23" s="49" t="str">
        <f>IF(F748 = 0, "−", F748)</f>
        <v>−</v>
      </c>
      <c r="P23" s="50" t="str">
        <f>IF(H748 = 0, "−", H748)</f>
        <v>−</v>
      </c>
      <c r="Q23" s="51"/>
      <c r="R23" s="62"/>
      <c r="S23" s="63"/>
      <c r="T23" s="72"/>
      <c r="U23" s="77"/>
    </row>
    <row r="24" spans="1:21" ht="13.5" customHeight="1" x14ac:dyDescent="0.25">
      <c r="A24" s="307">
        <v>11</v>
      </c>
      <c r="B24" s="307"/>
      <c r="C24" s="170"/>
      <c r="D24" s="309"/>
      <c r="E24" s="170"/>
      <c r="F24" s="311"/>
      <c r="G24" s="313"/>
      <c r="H24" s="315"/>
      <c r="I24" s="8"/>
      <c r="J24" s="281">
        <f>A749</f>
        <v>43853</v>
      </c>
      <c r="K24" s="282"/>
      <c r="L24" s="47" t="str">
        <f>IF(IF(D752,D752,F752) = 0, "",IF(D752,D752,F752))</f>
        <v/>
      </c>
      <c r="M24" s="48" t="str">
        <f>IFERROR(IF(LOOKUP(9E+307,F752:F781)&gt;LOOKUP(9E+307,D752:D781),LOOKUP(9E+307,F752:F781),LOOKUP(9E+307,D752:D781)),"")</f>
        <v/>
      </c>
      <c r="N24" s="49" t="str">
        <f t="shared" si="0"/>
        <v/>
      </c>
      <c r="O24" s="49" t="str">
        <f>IF(F782 = 0, "−", F782)</f>
        <v>−</v>
      </c>
      <c r="P24" s="50" t="str">
        <f>IF(H782 = 0, "−", H782)</f>
        <v>−</v>
      </c>
      <c r="Q24" s="51"/>
      <c r="R24" s="64" t="s">
        <v>97</v>
      </c>
      <c r="S24" s="57">
        <v>5000</v>
      </c>
      <c r="T24" s="72"/>
      <c r="U24" s="77"/>
    </row>
    <row r="25" spans="1:21" ht="13.5" customHeight="1" x14ac:dyDescent="0.25">
      <c r="A25" s="308"/>
      <c r="B25" s="308"/>
      <c r="C25" s="171" t="str">
        <f>IFERROR(VLOOKUP(C24,Списки!$E:$F,2,0)," ")</f>
        <v xml:space="preserve"> </v>
      </c>
      <c r="D25" s="310"/>
      <c r="E25" s="171" t="str">
        <f>IFERROR(VLOOKUP(E24,Списки!$E:$F,2,0)," ")</f>
        <v xml:space="preserve"> </v>
      </c>
      <c r="F25" s="312"/>
      <c r="G25" s="314"/>
      <c r="H25" s="315"/>
      <c r="I25" s="8"/>
      <c r="J25" s="281">
        <f>A783</f>
        <v>43854</v>
      </c>
      <c r="K25" s="282"/>
      <c r="L25" s="47" t="str">
        <f>IF(IF(D786,D786,F786) = 0, "",IF(D786,D786,F786))</f>
        <v/>
      </c>
      <c r="M25" s="48" t="str">
        <f>IFERROR(IF(LOOKUP(9E+307,F786:F815)&gt;LOOKUP(9E+307,D786:D815),LOOKUP(9E+307,F786:F815),LOOKUP(9E+307,D786:D815)),"")</f>
        <v/>
      </c>
      <c r="N25" s="49" t="str">
        <f t="shared" si="0"/>
        <v/>
      </c>
      <c r="O25" s="49" t="str">
        <f>IF(F816 = 0, "−", F816)</f>
        <v>−</v>
      </c>
      <c r="P25" s="50" t="str">
        <f>IF(H816 = 0, "−", H816)</f>
        <v>−</v>
      </c>
      <c r="Q25" s="51"/>
      <c r="R25" s="64" t="s">
        <v>98</v>
      </c>
      <c r="S25" s="33">
        <v>0</v>
      </c>
      <c r="T25" s="72"/>
      <c r="U25" s="77"/>
    </row>
    <row r="26" spans="1:21" ht="13.5" customHeight="1" x14ac:dyDescent="0.25">
      <c r="A26" s="307">
        <v>12</v>
      </c>
      <c r="B26" s="307"/>
      <c r="C26" s="170"/>
      <c r="D26" s="309"/>
      <c r="E26" s="170"/>
      <c r="F26" s="311"/>
      <c r="G26" s="313"/>
      <c r="H26" s="315"/>
      <c r="I26" s="8"/>
      <c r="J26" s="281">
        <f>A817</f>
        <v>43855</v>
      </c>
      <c r="K26" s="282"/>
      <c r="L26" s="47" t="str">
        <f>IF(IF(D820,D820,F820) = 0, "",IF(D820,D820,F820))</f>
        <v/>
      </c>
      <c r="M26" s="48" t="str">
        <f>IFERROR(IF(LOOKUP(9E+307,F820:F849)&gt;LOOKUP(9E+307,D820:D849),LOOKUP(9E+307,F820:F849),LOOKUP(9E+307,D820:D849)),"")</f>
        <v/>
      </c>
      <c r="N26" s="49" t="str">
        <f t="shared" si="0"/>
        <v/>
      </c>
      <c r="O26" s="49" t="str">
        <f>IF(F850 = 0, "−", F850)</f>
        <v>−</v>
      </c>
      <c r="P26" s="50" t="str">
        <f>IF(H850 = 0, "−", H850)</f>
        <v>−</v>
      </c>
      <c r="Q26" s="51"/>
      <c r="R26" s="64" t="s">
        <v>99</v>
      </c>
      <c r="S26" s="33">
        <v>0</v>
      </c>
      <c r="T26" s="72"/>
      <c r="U26" s="77"/>
    </row>
    <row r="27" spans="1:21" ht="13.5" customHeight="1" x14ac:dyDescent="0.25">
      <c r="A27" s="308"/>
      <c r="B27" s="308"/>
      <c r="C27" s="171" t="str">
        <f>IFERROR(VLOOKUP(C26,Списки!$E:$F,2,0)," ")</f>
        <v xml:space="preserve"> </v>
      </c>
      <c r="D27" s="310"/>
      <c r="E27" s="171" t="str">
        <f>IFERROR(VLOOKUP(E26,Списки!$E:$F,2,0)," ")</f>
        <v xml:space="preserve"> </v>
      </c>
      <c r="F27" s="312"/>
      <c r="G27" s="314"/>
      <c r="H27" s="315"/>
      <c r="I27" s="8"/>
      <c r="J27" s="281">
        <f>A851</f>
        <v>43856</v>
      </c>
      <c r="K27" s="282"/>
      <c r="L27" s="47" t="str">
        <f>IF(IF(D854,D854,F854) = 0, "",IF(D854,D854,F854))</f>
        <v/>
      </c>
      <c r="M27" s="48" t="str">
        <f>IFERROR(IF(LOOKUP(9E+307,F854:F883)&gt;LOOKUP(9E+307,D854:D883),LOOKUP(9E+307,F854:F883),LOOKUP(9E+307,D854:D883)),"")</f>
        <v/>
      </c>
      <c r="N27" s="49" t="str">
        <f t="shared" si="0"/>
        <v/>
      </c>
      <c r="O27" s="49" t="str">
        <f>IF(F884 = 0, "−", F884)</f>
        <v>−</v>
      </c>
      <c r="P27" s="50" t="str">
        <f>IF(H884 = 0, "−", H884)</f>
        <v>−</v>
      </c>
      <c r="Q27" s="51"/>
      <c r="R27" s="64" t="s">
        <v>100</v>
      </c>
      <c r="S27" s="33">
        <v>0</v>
      </c>
      <c r="T27" s="72"/>
      <c r="U27" s="77"/>
    </row>
    <row r="28" spans="1:21" ht="13.5" customHeight="1" x14ac:dyDescent="0.25">
      <c r="A28" s="307">
        <v>13</v>
      </c>
      <c r="B28" s="307"/>
      <c r="C28" s="170"/>
      <c r="D28" s="309"/>
      <c r="E28" s="170"/>
      <c r="F28" s="311"/>
      <c r="G28" s="313"/>
      <c r="H28" s="315"/>
      <c r="I28" s="8"/>
      <c r="J28" s="281">
        <f>A885</f>
        <v>43857</v>
      </c>
      <c r="K28" s="282"/>
      <c r="L28" s="47" t="str">
        <f>IF(IF(D888,D888,F888) = 0, "",IF(D888,D888,F888))</f>
        <v/>
      </c>
      <c r="M28" s="48" t="str">
        <f>IFERROR(IF(LOOKUP(9E+307,F888:F917)&gt;LOOKUP(9E+307,D888:D917),LOOKUP(9E+307,F888:F917),LOOKUP(9E+307,D888:D917)),"")</f>
        <v/>
      </c>
      <c r="N28" s="49" t="str">
        <f t="shared" si="0"/>
        <v/>
      </c>
      <c r="O28" s="49" t="str">
        <f>IF(F918 = 0, "−", F918)</f>
        <v>−</v>
      </c>
      <c r="P28" s="50" t="str">
        <f>IF(H918 = 0, "−", H918)</f>
        <v>−</v>
      </c>
      <c r="Q28" s="51"/>
      <c r="R28" s="64" t="s">
        <v>101</v>
      </c>
      <c r="S28" s="57">
        <f>SUM(S24:S27)</f>
        <v>5000</v>
      </c>
      <c r="T28" s="72"/>
      <c r="U28" s="77"/>
    </row>
    <row r="29" spans="1:21" ht="13.5" customHeight="1" x14ac:dyDescent="0.25">
      <c r="A29" s="308"/>
      <c r="B29" s="308"/>
      <c r="C29" s="171" t="str">
        <f>IFERROR(VLOOKUP(C28,Списки!$E:$F,2,0)," ")</f>
        <v xml:space="preserve"> </v>
      </c>
      <c r="D29" s="310"/>
      <c r="E29" s="171" t="str">
        <f>IFERROR(VLOOKUP(E28,Списки!$E:$F,2,0)," ")</f>
        <v xml:space="preserve"> </v>
      </c>
      <c r="F29" s="312"/>
      <c r="G29" s="314"/>
      <c r="H29" s="315"/>
      <c r="I29" s="8"/>
      <c r="J29" s="281">
        <f>A919</f>
        <v>43858</v>
      </c>
      <c r="K29" s="282"/>
      <c r="L29" s="47" t="str">
        <f>IF(IF(D922,D922,F922) = 0, "",IF(D922,D922,F922))</f>
        <v/>
      </c>
      <c r="M29" s="48" t="str">
        <f>IFERROR(IF(LOOKUP(9E+307,F922:F951)&gt;LOOKUP(9E+307,D922:D951),LOOKUP(9E+307,F922:F951),LOOKUP(9E+307,D922:D951)),"")</f>
        <v/>
      </c>
      <c r="N29" s="49" t="str">
        <f t="shared" si="0"/>
        <v/>
      </c>
      <c r="O29" s="49" t="str">
        <f>IF(F952 = 0, "−", F952)</f>
        <v>−</v>
      </c>
      <c r="P29" s="50" t="str">
        <f>IF(H952 = 0, "−", H952)</f>
        <v>−</v>
      </c>
      <c r="Q29" s="51"/>
      <c r="R29" s="65"/>
      <c r="S29" s="66"/>
      <c r="T29" s="72"/>
      <c r="U29" s="77"/>
    </row>
    <row r="30" spans="1:21" ht="13.5" customHeight="1" x14ac:dyDescent="0.25">
      <c r="A30" s="307">
        <v>14</v>
      </c>
      <c r="B30" s="307"/>
      <c r="C30" s="170"/>
      <c r="D30" s="309"/>
      <c r="E30" s="170"/>
      <c r="F30" s="311"/>
      <c r="G30" s="313"/>
      <c r="H30" s="315"/>
      <c r="I30" s="8"/>
      <c r="J30" s="281">
        <f>IF(MONTH(A953)=DAY(J1),A953,"")</f>
        <v>43859</v>
      </c>
      <c r="K30" s="282"/>
      <c r="L30" s="47" t="str">
        <f>IF(IF(D956,D956,F956) = 0, "",IF(D956,D956,F956))</f>
        <v/>
      </c>
      <c r="M30" s="48" t="str">
        <f>IFERROR(IF(LOOKUP(9E+307,F956:F985)&gt;LOOKUP(9E+307,D956:D985),LOOKUP(9E+307,F956:F985),LOOKUP(9E+307,D956:D985)),"")</f>
        <v/>
      </c>
      <c r="N30" s="49" t="str">
        <f t="shared" si="0"/>
        <v/>
      </c>
      <c r="O30" s="49" t="str">
        <f>IF(MONTH(A953)=DAY(J1), IF(F986= 0, "−", F986),"")</f>
        <v>−</v>
      </c>
      <c r="P30" s="50" t="str">
        <f>IF(MONTH(A953)=DAY(J1), IF(H986= 0, "−", H986),"")</f>
        <v>−</v>
      </c>
      <c r="Q30" s="51"/>
      <c r="R30" s="64" t="s">
        <v>102</v>
      </c>
      <c r="S30" s="67">
        <v>85000</v>
      </c>
      <c r="T30" s="72"/>
      <c r="U30" s="77"/>
    </row>
    <row r="31" spans="1:21" ht="13.5" customHeight="1" x14ac:dyDescent="0.25">
      <c r="A31" s="308"/>
      <c r="B31" s="308"/>
      <c r="C31" s="171" t="str">
        <f>IFERROR(VLOOKUP(C30,Списки!$E:$F,2,0)," ")</f>
        <v xml:space="preserve"> </v>
      </c>
      <c r="D31" s="310"/>
      <c r="E31" s="171" t="str">
        <f>IFERROR(VLOOKUP(E30,Списки!$E:$F,2,0)," ")</f>
        <v xml:space="preserve"> </v>
      </c>
      <c r="F31" s="312"/>
      <c r="G31" s="314"/>
      <c r="H31" s="315"/>
      <c r="I31" s="8"/>
      <c r="J31" s="281">
        <f>IF(MONTH(A987)=DAY(J1),A987,"")</f>
        <v>43860</v>
      </c>
      <c r="K31" s="282"/>
      <c r="L31" s="47" t="str">
        <f>IF(IF(D990,D990,F990) = 0, "",IF(D990,D990,F990))</f>
        <v/>
      </c>
      <c r="M31" s="48" t="str">
        <f>IFERROR(IF(LOOKUP(9E+307,F990:F1019)&gt;LOOKUP(9E+307,D990:D1019),LOOKUP(9E+307,F990:F1019),LOOKUP(9E+307,D990:D1019)),"")</f>
        <v/>
      </c>
      <c r="N31" s="49" t="str">
        <f t="shared" si="0"/>
        <v/>
      </c>
      <c r="O31" s="49" t="str">
        <f>IF(MONTH(A987)=DAY(J1), IF(F1020 = 0, "−", F1020),"")</f>
        <v>−</v>
      </c>
      <c r="P31" s="50" t="str">
        <f>IF(MONTH(A987)=DAY(J1), IF(H1020 = 0, "−", H1020),"")</f>
        <v>−</v>
      </c>
      <c r="Q31" s="51"/>
      <c r="R31" s="64" t="s">
        <v>30</v>
      </c>
      <c r="S31" s="67">
        <f>S18</f>
        <v>0</v>
      </c>
      <c r="T31" s="72"/>
      <c r="U31" s="77"/>
    </row>
    <row r="32" spans="1:21" ht="13.5" customHeight="1" x14ac:dyDescent="0.25">
      <c r="A32" s="307">
        <v>15</v>
      </c>
      <c r="B32" s="307"/>
      <c r="C32" s="170"/>
      <c r="D32" s="309"/>
      <c r="E32" s="170"/>
      <c r="F32" s="311"/>
      <c r="G32" s="313"/>
      <c r="H32" s="315"/>
      <c r="I32" s="8"/>
      <c r="J32" s="295">
        <f>IF(MONTH(A1021)=DAY(J1),A1021,"")</f>
        <v>43861</v>
      </c>
      <c r="K32" s="296"/>
      <c r="L32" s="47" t="str">
        <f>IF(IF(D1024,D1024,F1024) = 0, "",IF(D1024,D1024,F1024))</f>
        <v/>
      </c>
      <c r="M32" s="48" t="str">
        <f>IFERROR(IF(LOOKUP(9E+307,F1024:F1053)&gt;LOOKUP(9E+307,D1024:D1053),LOOKUP(9E+307,F1024:F1053),LOOKUP(9E+307,D1024:D1053)),"")</f>
        <v/>
      </c>
      <c r="N32" s="49" t="str">
        <f>IF(AND(NOT(ISERR(M32-L32)),NOT(AND(ISBLANK(M32),ISBLANK(L32)))),IF(M32&lt;0.166666667,1-L32+M32,M32-L32),"")</f>
        <v/>
      </c>
      <c r="O32" s="49" t="str">
        <f>IF(MONTH(A1021)=DAY(J1), IF(F1054 = 0, "−", F1054),"")</f>
        <v>−</v>
      </c>
      <c r="P32" s="50" t="str">
        <f>IF(MONTH(A1021)=DAY(J1), IF(H1054 = 0, "−", H1054),"")</f>
        <v>−</v>
      </c>
      <c r="Q32" s="51"/>
      <c r="R32" s="64" t="s">
        <v>95</v>
      </c>
      <c r="S32" s="67">
        <f>S22</f>
        <v>0</v>
      </c>
      <c r="T32" s="72"/>
      <c r="U32" s="77"/>
    </row>
    <row r="33" spans="1:21" ht="13.5" customHeight="1" x14ac:dyDescent="0.25">
      <c r="A33" s="308"/>
      <c r="B33" s="308"/>
      <c r="C33" s="171" t="str">
        <f>IFERROR(VLOOKUP(C32,Списки!$E:$F,2,0)," ")</f>
        <v xml:space="preserve"> </v>
      </c>
      <c r="D33" s="310"/>
      <c r="E33" s="171" t="str">
        <f>IFERROR(VLOOKUP(E32,Списки!$E:$F,2,0)," ")</f>
        <v xml:space="preserve"> </v>
      </c>
      <c r="F33" s="312"/>
      <c r="G33" s="314"/>
      <c r="H33" s="315"/>
      <c r="I33" s="8"/>
      <c r="J33" s="8"/>
      <c r="K33" s="68"/>
      <c r="L33" s="69"/>
      <c r="M33" s="70"/>
      <c r="N33" s="300" t="s">
        <v>27</v>
      </c>
      <c r="O33" s="302">
        <f>SUM(O2:O32)</f>
        <v>0</v>
      </c>
      <c r="P33" s="304">
        <f>SUM(P2:P32)</f>
        <v>0</v>
      </c>
      <c r="Q33" s="290"/>
      <c r="R33" s="64" t="s">
        <v>101</v>
      </c>
      <c r="S33" s="67">
        <f>S28</f>
        <v>5000</v>
      </c>
      <c r="T33" s="72"/>
      <c r="U33" s="77"/>
    </row>
    <row r="34" spans="1:21" x14ac:dyDescent="0.25">
      <c r="A34" s="36"/>
      <c r="B34" s="37"/>
      <c r="C34" s="173"/>
      <c r="D34" s="173"/>
      <c r="E34" s="174" t="s">
        <v>47</v>
      </c>
      <c r="F34" s="39">
        <f>IFERROR(SUM(IFERROR(IF((LOOKUP(9E+307,F4:F33))&gt;$M$39,(LOOKUP(9E+307,F4:F33))-$M$39,IF((LOOKUP(9E+307,F4:F33))&lt;0.166666667,0+(LOOKUP(9E+307,F4:F33))+1-$M$39,0)),0),(IF(AND(IF(D4,$M$38-D4,0)&gt;0,F4,F4&gt;D4),$M$38-D4,IF(AND(D4,F4,D4&gt;F4),"error",0)))),"ОШИБКА")</f>
        <v>0</v>
      </c>
      <c r="G34" s="40" t="s">
        <v>27</v>
      </c>
      <c r="H34" s="38">
        <f>SUM(H4:H33)</f>
        <v>0</v>
      </c>
      <c r="I34" s="8"/>
      <c r="J34" s="8"/>
      <c r="K34" s="36"/>
      <c r="L34" s="36"/>
      <c r="M34" s="36"/>
      <c r="N34" s="301"/>
      <c r="O34" s="303"/>
      <c r="P34" s="305"/>
      <c r="Q34" s="290"/>
      <c r="R34" s="64" t="s">
        <v>103</v>
      </c>
      <c r="S34" s="71">
        <f>SUM(S30:S33)</f>
        <v>90000</v>
      </c>
      <c r="T34" s="72"/>
      <c r="U34" s="77"/>
    </row>
    <row r="35" spans="1:21" ht="15.75" x14ac:dyDescent="0.25">
      <c r="A35" s="316">
        <f>DATE(K1,J1,2)</f>
        <v>43832</v>
      </c>
      <c r="B35" s="316"/>
      <c r="C35" s="316"/>
      <c r="D35" s="316"/>
      <c r="E35" s="316"/>
      <c r="F35" s="316"/>
      <c r="G35" s="316"/>
      <c r="H35" s="316"/>
      <c r="I35" s="8"/>
      <c r="J35" s="8"/>
      <c r="K35" s="36"/>
      <c r="L35" s="36"/>
      <c r="M35" s="8"/>
      <c r="N35" s="36"/>
      <c r="O35" s="36"/>
      <c r="P35" s="36"/>
      <c r="Q35" s="36"/>
      <c r="R35" s="36"/>
      <c r="S35" s="36"/>
      <c r="T35" s="72"/>
      <c r="U35" s="77"/>
    </row>
    <row r="36" spans="1:21" ht="13.5" customHeight="1" x14ac:dyDescent="0.25">
      <c r="A36" s="318"/>
      <c r="B36" s="320" t="s">
        <v>34</v>
      </c>
      <c r="C36" s="175" t="s">
        <v>39</v>
      </c>
      <c r="D36" s="322" t="s">
        <v>36</v>
      </c>
      <c r="E36" s="175" t="s">
        <v>37</v>
      </c>
      <c r="F36" s="320" t="s">
        <v>36</v>
      </c>
      <c r="G36" s="324" t="s">
        <v>35</v>
      </c>
      <c r="H36" s="366" t="s">
        <v>40</v>
      </c>
      <c r="I36" s="8"/>
      <c r="J36" s="8"/>
      <c r="K36" s="36"/>
      <c r="L36" s="36"/>
      <c r="M36" s="36"/>
      <c r="N36" s="36"/>
      <c r="O36" s="36"/>
      <c r="P36" s="36"/>
      <c r="Q36" s="36"/>
      <c r="R36" s="36"/>
      <c r="S36" s="36"/>
      <c r="T36" s="72"/>
      <c r="U36" s="77"/>
    </row>
    <row r="37" spans="1:21" ht="13.5" customHeight="1" x14ac:dyDescent="0.25">
      <c r="A37" s="319"/>
      <c r="B37" s="321"/>
      <c r="C37" s="169" t="s">
        <v>38</v>
      </c>
      <c r="D37" s="323"/>
      <c r="E37" s="169" t="s">
        <v>38</v>
      </c>
      <c r="F37" s="321"/>
      <c r="G37" s="325"/>
      <c r="H37" s="366"/>
      <c r="I37" s="8"/>
      <c r="J37" s="8"/>
      <c r="K37" s="36"/>
      <c r="L37" s="298" t="s">
        <v>134</v>
      </c>
      <c r="M37" s="299"/>
      <c r="N37" s="73"/>
      <c r="O37" s="186">
        <f>S34-S33-S22</f>
        <v>85000</v>
      </c>
      <c r="P37" s="36"/>
      <c r="Q37" s="36"/>
      <c r="R37" s="36"/>
      <c r="S37" s="36"/>
      <c r="T37" s="72"/>
      <c r="U37" s="77"/>
    </row>
    <row r="38" spans="1:21" ht="13.5" customHeight="1" x14ac:dyDescent="0.25">
      <c r="A38" s="307">
        <v>1</v>
      </c>
      <c r="B38" s="307"/>
      <c r="C38" s="170" t="s">
        <v>43</v>
      </c>
      <c r="D38" s="309"/>
      <c r="E38" s="170" t="s">
        <v>44</v>
      </c>
      <c r="F38" s="311"/>
      <c r="G38" s="313"/>
      <c r="H38" s="315"/>
      <c r="I38" s="8"/>
      <c r="J38" s="8"/>
      <c r="K38" s="36"/>
      <c r="L38" s="74" t="s">
        <v>132</v>
      </c>
      <c r="M38" s="75">
        <v>0.3125</v>
      </c>
      <c r="N38" s="36"/>
      <c r="O38" s="187">
        <f>S32</f>
        <v>0</v>
      </c>
      <c r="P38" s="36"/>
      <c r="Q38" s="36"/>
      <c r="R38" s="36"/>
      <c r="S38" s="36"/>
      <c r="T38" s="72"/>
      <c r="U38" s="77"/>
    </row>
    <row r="39" spans="1:21" ht="13.5" customHeight="1" x14ac:dyDescent="0.25">
      <c r="A39" s="308"/>
      <c r="B39" s="308"/>
      <c r="C39" s="171" t="str">
        <f>IFERROR(VLOOKUP(C38,Списки!$E:$F,2,0)," ")</f>
        <v>SAVUSHKINA ST 128</v>
      </c>
      <c r="D39" s="310"/>
      <c r="E39" s="171" t="str">
        <f>IFERROR(VLOOKUP(E38,Списки!$E:$F,2,0)," ")</f>
        <v>LEVASHOVSKOE HWY 20</v>
      </c>
      <c r="F39" s="312"/>
      <c r="G39" s="314"/>
      <c r="H39" s="315"/>
      <c r="I39" s="8"/>
      <c r="J39" s="8"/>
      <c r="K39" s="36"/>
      <c r="L39" s="74" t="s">
        <v>133</v>
      </c>
      <c r="M39" s="75">
        <v>0.70833333333333337</v>
      </c>
      <c r="N39" s="36"/>
      <c r="O39" s="188">
        <f>(SUM(N2:N32))</f>
        <v>0</v>
      </c>
      <c r="P39" s="36"/>
      <c r="Q39" s="36"/>
      <c r="R39" s="36"/>
      <c r="S39" s="36"/>
      <c r="T39" s="72"/>
      <c r="U39" s="77"/>
    </row>
    <row r="40" spans="1:21" ht="13.5" customHeight="1" x14ac:dyDescent="0.25">
      <c r="A40" s="307">
        <v>2</v>
      </c>
      <c r="B40" s="307"/>
      <c r="C40" s="170" t="s">
        <v>44</v>
      </c>
      <c r="D40" s="309"/>
      <c r="E40" s="170"/>
      <c r="F40" s="311"/>
      <c r="G40" s="313"/>
      <c r="H40" s="315"/>
      <c r="I40" s="8"/>
      <c r="J40" s="8"/>
      <c r="K40" s="36"/>
      <c r="L40" s="36"/>
      <c r="M40" s="36"/>
      <c r="N40" s="76"/>
      <c r="O40" s="185">
        <f>P33</f>
        <v>0</v>
      </c>
      <c r="P40" s="36"/>
      <c r="Q40" s="36"/>
      <c r="R40" s="36"/>
      <c r="S40" s="36"/>
      <c r="T40" s="72"/>
      <c r="U40" s="77"/>
    </row>
    <row r="41" spans="1:21" ht="13.5" customHeight="1" x14ac:dyDescent="0.25">
      <c r="A41" s="308"/>
      <c r="B41" s="308"/>
      <c r="C41" s="171" t="str">
        <f>IFERROR(VLOOKUP(C40,Списки!$E:$F,2,0)," ")</f>
        <v>LEVASHOVSKOE HWY 20</v>
      </c>
      <c r="D41" s="310"/>
      <c r="E41" s="171" t="str">
        <f>IFERROR(VLOOKUP(E40,Списки!$E:$F,2,0)," ")</f>
        <v xml:space="preserve"> </v>
      </c>
      <c r="F41" s="312"/>
      <c r="G41" s="314"/>
      <c r="H41" s="315"/>
      <c r="I41" s="8"/>
      <c r="J41" s="8"/>
      <c r="K41" s="8"/>
      <c r="L41" s="79"/>
      <c r="M41" s="8"/>
      <c r="N41" s="80"/>
      <c r="O41" s="8"/>
      <c r="P41" s="8"/>
      <c r="Q41" s="8"/>
      <c r="R41" s="8"/>
      <c r="S41" s="8"/>
      <c r="T41" s="82"/>
    </row>
    <row r="42" spans="1:21" ht="13.5" customHeight="1" x14ac:dyDescent="0.25">
      <c r="A42" s="307">
        <v>3</v>
      </c>
      <c r="B42" s="307"/>
      <c r="C42" s="170"/>
      <c r="D42" s="309"/>
      <c r="E42" s="170"/>
      <c r="F42" s="311"/>
      <c r="G42" s="313"/>
      <c r="H42" s="315"/>
      <c r="I42" s="8"/>
      <c r="J42" s="8"/>
      <c r="K42" s="8"/>
      <c r="L42" s="79"/>
      <c r="M42" s="8"/>
      <c r="N42" s="8"/>
      <c r="O42" s="8"/>
      <c r="P42" s="8"/>
      <c r="Q42" s="8"/>
      <c r="R42" s="8"/>
      <c r="S42" s="8"/>
      <c r="T42" s="82"/>
    </row>
    <row r="43" spans="1:21" ht="13.5" customHeight="1" x14ac:dyDescent="0.25">
      <c r="A43" s="308"/>
      <c r="B43" s="308"/>
      <c r="C43" s="171" t="str">
        <f>IFERROR(VLOOKUP(C42,Списки!$E:$F,2,0)," ")</f>
        <v xml:space="preserve"> </v>
      </c>
      <c r="D43" s="310"/>
      <c r="E43" s="171" t="str">
        <f>IFERROR(VLOOKUP(E42,Списки!$E:$F,2,0)," ")</f>
        <v xml:space="preserve"> </v>
      </c>
      <c r="F43" s="312"/>
      <c r="G43" s="314"/>
      <c r="H43" s="315"/>
      <c r="I43" s="8"/>
      <c r="J43" s="8"/>
      <c r="K43" s="8"/>
      <c r="L43" s="79"/>
      <c r="M43" s="79"/>
      <c r="N43" s="8"/>
      <c r="O43" s="8"/>
      <c r="P43" s="8"/>
      <c r="Q43" s="8"/>
      <c r="R43" s="8"/>
      <c r="S43" s="8"/>
      <c r="T43" s="82"/>
    </row>
    <row r="44" spans="1:21" ht="13.5" customHeight="1" x14ac:dyDescent="0.25">
      <c r="A44" s="307">
        <v>4</v>
      </c>
      <c r="B44" s="307"/>
      <c r="C44" s="170"/>
      <c r="D44" s="309"/>
      <c r="E44" s="170"/>
      <c r="F44" s="311"/>
      <c r="G44" s="313"/>
      <c r="H44" s="315"/>
      <c r="I44" s="8"/>
      <c r="J44" s="8"/>
      <c r="K44" s="8"/>
      <c r="L44" s="79"/>
      <c r="M44" s="79"/>
      <c r="N44" s="8"/>
      <c r="O44" s="8"/>
      <c r="P44" s="8"/>
      <c r="Q44" s="8"/>
      <c r="R44" s="8"/>
      <c r="S44" s="8"/>
      <c r="T44" s="82"/>
    </row>
    <row r="45" spans="1:21" ht="13.5" customHeight="1" x14ac:dyDescent="0.25">
      <c r="A45" s="308"/>
      <c r="B45" s="308"/>
      <c r="C45" s="171" t="str">
        <f>IFERROR(VLOOKUP(C44,Списки!$E:$F,2,0)," ")</f>
        <v xml:space="preserve"> </v>
      </c>
      <c r="D45" s="310"/>
      <c r="E45" s="171" t="str">
        <f>IFERROR(VLOOKUP(E44,Списки!$E:$F,2,0)," ")</f>
        <v xml:space="preserve"> </v>
      </c>
      <c r="F45" s="312"/>
      <c r="G45" s="314"/>
      <c r="H45" s="315"/>
      <c r="I45" s="8"/>
      <c r="J45" s="8"/>
      <c r="K45" s="78"/>
      <c r="L45" s="79"/>
      <c r="M45" s="79"/>
      <c r="N45" s="80"/>
      <c r="O45" s="8"/>
      <c r="P45" s="8"/>
      <c r="Q45" s="8"/>
      <c r="R45" s="8"/>
      <c r="S45" s="8"/>
      <c r="T45" s="82"/>
    </row>
    <row r="46" spans="1:21" ht="13.5" customHeight="1" x14ac:dyDescent="0.25">
      <c r="A46" s="307">
        <v>5</v>
      </c>
      <c r="B46" s="307"/>
      <c r="C46" s="170"/>
      <c r="D46" s="309"/>
      <c r="E46" s="172"/>
      <c r="F46" s="311"/>
      <c r="G46" s="313"/>
      <c r="H46" s="315"/>
      <c r="I46" s="8"/>
      <c r="J46" s="8"/>
      <c r="K46" s="8"/>
      <c r="L46" s="79"/>
      <c r="M46" s="79"/>
      <c r="N46" s="8"/>
      <c r="O46" s="8"/>
      <c r="P46" s="8"/>
      <c r="Q46" s="8"/>
      <c r="R46" s="8"/>
      <c r="S46" s="8"/>
      <c r="T46" s="82"/>
    </row>
    <row r="47" spans="1:21" ht="13.5" customHeight="1" x14ac:dyDescent="0.25">
      <c r="A47" s="308"/>
      <c r="B47" s="308"/>
      <c r="C47" s="171" t="str">
        <f>IFERROR(VLOOKUP(C46,Списки!$E:$F,2,0)," ")</f>
        <v xml:space="preserve"> </v>
      </c>
      <c r="D47" s="310"/>
      <c r="E47" s="172" t="str">
        <f>IFERROR(VLOOKUP(E46,Списки!$E:$F,2,0)," ")</f>
        <v xml:space="preserve"> </v>
      </c>
      <c r="F47" s="312"/>
      <c r="G47" s="314"/>
      <c r="H47" s="315"/>
      <c r="I47" s="8"/>
      <c r="J47" s="8"/>
      <c r="K47" s="8"/>
      <c r="L47" s="79"/>
      <c r="M47" s="79"/>
      <c r="N47" s="8"/>
      <c r="O47" s="8"/>
      <c r="P47" s="8"/>
      <c r="Q47" s="8"/>
      <c r="R47" s="8"/>
      <c r="S47" s="8"/>
      <c r="T47" s="82"/>
    </row>
    <row r="48" spans="1:21" ht="13.5" customHeight="1" x14ac:dyDescent="0.25">
      <c r="A48" s="307">
        <v>6</v>
      </c>
      <c r="B48" s="307"/>
      <c r="C48" s="170"/>
      <c r="D48" s="309"/>
      <c r="E48" s="170"/>
      <c r="F48" s="311"/>
      <c r="G48" s="313"/>
      <c r="H48" s="315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2"/>
    </row>
    <row r="49" spans="1:20" ht="13.5" customHeight="1" x14ac:dyDescent="0.25">
      <c r="A49" s="308"/>
      <c r="B49" s="308"/>
      <c r="C49" s="171" t="str">
        <f>IFERROR(VLOOKUP(C48,Списки!$E:$F,2,0)," ")</f>
        <v xml:space="preserve"> </v>
      </c>
      <c r="D49" s="310"/>
      <c r="E49" s="179" t="str">
        <f>IFERROR(VLOOKUP(E48,Списки!$E:$F,2,0)," ")</f>
        <v xml:space="preserve"> </v>
      </c>
      <c r="F49" s="312"/>
      <c r="G49" s="314"/>
      <c r="H49" s="315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2"/>
    </row>
    <row r="50" spans="1:20" ht="13.5" customHeight="1" x14ac:dyDescent="0.25">
      <c r="A50" s="307">
        <v>7</v>
      </c>
      <c r="B50" s="307"/>
      <c r="C50" s="170"/>
      <c r="D50" s="309"/>
      <c r="E50" s="170"/>
      <c r="F50" s="311"/>
      <c r="G50" s="313"/>
      <c r="H50" s="315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2"/>
    </row>
    <row r="51" spans="1:20" ht="13.5" customHeight="1" x14ac:dyDescent="0.25">
      <c r="A51" s="308"/>
      <c r="B51" s="308"/>
      <c r="C51" s="179" t="str">
        <f>IFERROR(VLOOKUP(C50,Списки!$E:$F,2,0)," ")</f>
        <v xml:space="preserve"> </v>
      </c>
      <c r="D51" s="310"/>
      <c r="E51" s="171" t="str">
        <f>IFERROR(VLOOKUP(E50,Списки!$E:$F,2,0)," ")</f>
        <v xml:space="preserve"> </v>
      </c>
      <c r="F51" s="312"/>
      <c r="G51" s="314"/>
      <c r="H51" s="315"/>
      <c r="I51" s="8"/>
      <c r="J51" s="8"/>
      <c r="K51" s="8"/>
      <c r="L51" s="8"/>
      <c r="M51" s="8"/>
      <c r="N51" s="80"/>
      <c r="O51" s="8"/>
      <c r="P51" s="8"/>
      <c r="Q51" s="8"/>
      <c r="R51" s="8"/>
      <c r="S51" s="8"/>
      <c r="T51" s="82"/>
    </row>
    <row r="52" spans="1:20" ht="13.5" customHeight="1" x14ac:dyDescent="0.25">
      <c r="A52" s="307">
        <v>8</v>
      </c>
      <c r="B52" s="307"/>
      <c r="C52" s="170"/>
      <c r="D52" s="309"/>
      <c r="E52" s="170"/>
      <c r="F52" s="311"/>
      <c r="G52" s="313"/>
      <c r="H52" s="315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2"/>
    </row>
    <row r="53" spans="1:20" ht="13.5" customHeight="1" x14ac:dyDescent="0.25">
      <c r="A53" s="308"/>
      <c r="B53" s="308"/>
      <c r="C53" s="179" t="str">
        <f>IFERROR(VLOOKUP(C52,Списки!$E:$F,2,0)," ")</f>
        <v xml:space="preserve"> </v>
      </c>
      <c r="D53" s="310"/>
      <c r="E53" s="171" t="str">
        <f>IFERROR(VLOOKUP(E52,Списки!$E:$F,2,0)," ")</f>
        <v xml:space="preserve"> </v>
      </c>
      <c r="F53" s="312"/>
      <c r="G53" s="314"/>
      <c r="H53" s="315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2"/>
    </row>
    <row r="54" spans="1:20" ht="13.5" customHeight="1" x14ac:dyDescent="0.25">
      <c r="A54" s="307">
        <v>9</v>
      </c>
      <c r="B54" s="307"/>
      <c r="C54" s="170"/>
      <c r="D54" s="309"/>
      <c r="E54" s="170"/>
      <c r="F54" s="311"/>
      <c r="G54" s="313"/>
      <c r="H54" s="315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2"/>
    </row>
    <row r="55" spans="1:20" ht="13.5" customHeight="1" x14ac:dyDescent="0.25">
      <c r="A55" s="308"/>
      <c r="B55" s="308"/>
      <c r="C55" s="171" t="str">
        <f>IFERROR(VLOOKUP(C54,Списки!$E:$F,2,0)," ")</f>
        <v xml:space="preserve"> </v>
      </c>
      <c r="D55" s="310"/>
      <c r="E55" s="171" t="str">
        <f>IFERROR(VLOOKUP(E54,Списки!$E:$F,2,0)," ")</f>
        <v xml:space="preserve"> </v>
      </c>
      <c r="F55" s="312"/>
      <c r="G55" s="314"/>
      <c r="H55" s="315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2"/>
    </row>
    <row r="56" spans="1:20" ht="13.5" customHeight="1" x14ac:dyDescent="0.25">
      <c r="A56" s="307">
        <v>10</v>
      </c>
      <c r="B56" s="307"/>
      <c r="C56" s="170"/>
      <c r="D56" s="309"/>
      <c r="E56" s="170"/>
      <c r="F56" s="311"/>
      <c r="G56" s="313"/>
      <c r="H56" s="315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2"/>
    </row>
    <row r="57" spans="1:20" ht="13.5" customHeight="1" x14ac:dyDescent="0.25">
      <c r="A57" s="308"/>
      <c r="B57" s="308"/>
      <c r="C57" s="171" t="str">
        <f>IFERROR(VLOOKUP(C56,Списки!$E:$F,2,0)," ")</f>
        <v xml:space="preserve"> </v>
      </c>
      <c r="D57" s="310"/>
      <c r="E57" s="171" t="str">
        <f>IFERROR(VLOOKUP(E56,Списки!$E:$F,2,0)," ")</f>
        <v xml:space="preserve"> </v>
      </c>
      <c r="F57" s="312"/>
      <c r="G57" s="314"/>
      <c r="H57" s="315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2"/>
    </row>
    <row r="58" spans="1:20" ht="13.5" customHeight="1" x14ac:dyDescent="0.25">
      <c r="A58" s="307">
        <v>11</v>
      </c>
      <c r="B58" s="307"/>
      <c r="C58" s="170"/>
      <c r="D58" s="309"/>
      <c r="E58" s="170"/>
      <c r="F58" s="311"/>
      <c r="G58" s="313"/>
      <c r="H58" s="315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2"/>
    </row>
    <row r="59" spans="1:20" ht="13.5" customHeight="1" x14ac:dyDescent="0.25">
      <c r="A59" s="308"/>
      <c r="B59" s="308"/>
      <c r="C59" s="171" t="str">
        <f>IFERROR(VLOOKUP(C58,Списки!$E:$F,2,0)," ")</f>
        <v xml:space="preserve"> </v>
      </c>
      <c r="D59" s="310"/>
      <c r="E59" s="171" t="str">
        <f>IFERROR(VLOOKUP(E58,Списки!$E:$F,2,0)," ")</f>
        <v xml:space="preserve"> </v>
      </c>
      <c r="F59" s="312"/>
      <c r="G59" s="314"/>
      <c r="H59" s="315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2"/>
    </row>
    <row r="60" spans="1:20" ht="13.5" customHeight="1" x14ac:dyDescent="0.25">
      <c r="A60" s="307">
        <v>12</v>
      </c>
      <c r="B60" s="307"/>
      <c r="C60" s="170"/>
      <c r="D60" s="309"/>
      <c r="E60" s="170"/>
      <c r="F60" s="311"/>
      <c r="G60" s="313"/>
      <c r="H60" s="315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2"/>
    </row>
    <row r="61" spans="1:20" ht="13.5" customHeight="1" x14ac:dyDescent="0.25">
      <c r="A61" s="308"/>
      <c r="B61" s="308"/>
      <c r="C61" s="171" t="str">
        <f>IFERROR(VLOOKUP(C60,Списки!$E:$F,2,0)," ")</f>
        <v xml:space="preserve"> </v>
      </c>
      <c r="D61" s="310"/>
      <c r="E61" s="171" t="str">
        <f>IFERROR(VLOOKUP(E60,Списки!$E:$F,2,0)," ")</f>
        <v xml:space="preserve"> </v>
      </c>
      <c r="F61" s="312"/>
      <c r="G61" s="314"/>
      <c r="H61" s="315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2"/>
    </row>
    <row r="62" spans="1:20" ht="13.5" customHeight="1" x14ac:dyDescent="0.25">
      <c r="A62" s="307">
        <v>13</v>
      </c>
      <c r="B62" s="307"/>
      <c r="C62" s="170"/>
      <c r="D62" s="309"/>
      <c r="E62" s="170"/>
      <c r="F62" s="311"/>
      <c r="G62" s="313"/>
      <c r="H62" s="315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2"/>
    </row>
    <row r="63" spans="1:20" ht="13.5" customHeight="1" x14ac:dyDescent="0.25">
      <c r="A63" s="308"/>
      <c r="B63" s="308"/>
      <c r="C63" s="171" t="str">
        <f>IFERROR(VLOOKUP(C62,Списки!$E:$F,2,0)," ")</f>
        <v xml:space="preserve"> </v>
      </c>
      <c r="D63" s="310"/>
      <c r="E63" s="171" t="str">
        <f>IFERROR(VLOOKUP(E62,Списки!$E:$F,2,0)," ")</f>
        <v xml:space="preserve"> </v>
      </c>
      <c r="F63" s="312"/>
      <c r="G63" s="314"/>
      <c r="H63" s="315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2"/>
    </row>
    <row r="64" spans="1:20" ht="13.5" customHeight="1" x14ac:dyDescent="0.25">
      <c r="A64" s="307">
        <v>14</v>
      </c>
      <c r="B64" s="307"/>
      <c r="C64" s="170"/>
      <c r="D64" s="309"/>
      <c r="E64" s="170"/>
      <c r="F64" s="311"/>
      <c r="G64" s="313"/>
      <c r="H64" s="315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2"/>
    </row>
    <row r="65" spans="1:20" ht="13.5" customHeight="1" x14ac:dyDescent="0.25">
      <c r="A65" s="308"/>
      <c r="B65" s="308"/>
      <c r="C65" s="171" t="str">
        <f>IFERROR(VLOOKUP(C64,Списки!$E:$F,2,0)," ")</f>
        <v xml:space="preserve"> </v>
      </c>
      <c r="D65" s="310"/>
      <c r="E65" s="171" t="str">
        <f>IFERROR(VLOOKUP(E64,Списки!$E:$F,2,0)," ")</f>
        <v xml:space="preserve"> </v>
      </c>
      <c r="F65" s="312"/>
      <c r="G65" s="314"/>
      <c r="H65" s="315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2"/>
    </row>
    <row r="66" spans="1:20" ht="13.5" customHeight="1" x14ac:dyDescent="0.25">
      <c r="A66" s="307">
        <v>15</v>
      </c>
      <c r="B66" s="307"/>
      <c r="C66" s="170"/>
      <c r="D66" s="309"/>
      <c r="E66" s="170"/>
      <c r="F66" s="311"/>
      <c r="G66" s="313"/>
      <c r="H66" s="315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2"/>
    </row>
    <row r="67" spans="1:20" ht="13.5" customHeight="1" x14ac:dyDescent="0.25">
      <c r="A67" s="308"/>
      <c r="B67" s="308"/>
      <c r="C67" s="171" t="str">
        <f>IFERROR(VLOOKUP(C66,Списки!$E:$F,2,0)," ")</f>
        <v xml:space="preserve"> </v>
      </c>
      <c r="D67" s="310"/>
      <c r="E67" s="171" t="str">
        <f>IFERROR(VLOOKUP(E66,Списки!$E:$F,2,0)," ")</f>
        <v xml:space="preserve"> </v>
      </c>
      <c r="F67" s="312"/>
      <c r="G67" s="314"/>
      <c r="H67" s="315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2"/>
    </row>
    <row r="68" spans="1:20" x14ac:dyDescent="0.25">
      <c r="A68" s="36"/>
      <c r="B68" s="37"/>
      <c r="C68" s="173"/>
      <c r="D68" s="173"/>
      <c r="E68" s="174" t="s">
        <v>30</v>
      </c>
      <c r="F68" s="39">
        <f>IFERROR(SUM(IFERROR(IF((LOOKUP(9E+307,F38:F67))&gt;$M$39,(LOOKUP(9E+307,F38:F67))-$M$39,IF((LOOKUP(9E+307,F38:F67))&lt;0.166666667,0+(LOOKUP(9E+307,F38:F67))+1-$M$39,0)),0),(IF(AND(IF(D38,$M$38-D38,0)&gt;0,F38,F38&gt;D38),$M$38-D38,IF(AND(D38,F38,D38&gt;F38),"error",0)))),"ОШИБКА")</f>
        <v>0</v>
      </c>
      <c r="G68" s="40" t="s">
        <v>27</v>
      </c>
      <c r="H68" s="38">
        <f>SUM(H38:H67)</f>
        <v>0</v>
      </c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2"/>
    </row>
    <row r="69" spans="1:20" ht="15.75" x14ac:dyDescent="0.25">
      <c r="A69" s="316">
        <f>DATE(K1,J1,3)</f>
        <v>43833</v>
      </c>
      <c r="B69" s="316"/>
      <c r="C69" s="316"/>
      <c r="D69" s="316"/>
      <c r="E69" s="316"/>
      <c r="F69" s="316"/>
      <c r="G69" s="316"/>
      <c r="H69" s="316"/>
      <c r="I69" s="8"/>
      <c r="J69" s="8"/>
      <c r="K69" s="8"/>
      <c r="L69" s="8"/>
      <c r="M69" s="8"/>
      <c r="N69" s="81"/>
      <c r="O69" s="8"/>
      <c r="P69" s="8"/>
      <c r="Q69" s="8"/>
      <c r="R69" s="8"/>
      <c r="S69" s="8"/>
      <c r="T69" s="82"/>
    </row>
    <row r="70" spans="1:20" ht="13.5" customHeight="1" x14ac:dyDescent="0.25">
      <c r="A70" s="318"/>
      <c r="B70" s="320" t="s">
        <v>34</v>
      </c>
      <c r="C70" s="175" t="s">
        <v>39</v>
      </c>
      <c r="D70" s="322" t="s">
        <v>36</v>
      </c>
      <c r="E70" s="175" t="s">
        <v>37</v>
      </c>
      <c r="F70" s="320" t="s">
        <v>36</v>
      </c>
      <c r="G70" s="324" t="s">
        <v>35</v>
      </c>
      <c r="H70" s="366" t="s">
        <v>40</v>
      </c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2"/>
    </row>
    <row r="71" spans="1:20" ht="13.5" customHeight="1" x14ac:dyDescent="0.25">
      <c r="A71" s="319"/>
      <c r="B71" s="321"/>
      <c r="C71" s="169" t="s">
        <v>38</v>
      </c>
      <c r="D71" s="323"/>
      <c r="E71" s="169" t="s">
        <v>38</v>
      </c>
      <c r="F71" s="321"/>
      <c r="G71" s="325"/>
      <c r="H71" s="366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2"/>
    </row>
    <row r="72" spans="1:20" ht="13.5" customHeight="1" x14ac:dyDescent="0.25">
      <c r="A72" s="307">
        <v>1</v>
      </c>
      <c r="B72" s="307"/>
      <c r="C72" s="170" t="s">
        <v>43</v>
      </c>
      <c r="D72" s="309"/>
      <c r="E72" s="170" t="s">
        <v>44</v>
      </c>
      <c r="F72" s="311"/>
      <c r="G72" s="313"/>
      <c r="H72" s="315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2"/>
    </row>
    <row r="73" spans="1:20" ht="13.5" customHeight="1" x14ac:dyDescent="0.25">
      <c r="A73" s="308"/>
      <c r="B73" s="308"/>
      <c r="C73" s="171" t="str">
        <f>IFERROR(VLOOKUP(C72,Списки!$E:$F,2,0)," ")</f>
        <v>SAVUSHKINA ST 128</v>
      </c>
      <c r="D73" s="310"/>
      <c r="E73" s="171" t="str">
        <f>IFERROR(VLOOKUP(E72,Списки!$E:$F,2,0)," ")</f>
        <v>LEVASHOVSKOE HWY 20</v>
      </c>
      <c r="F73" s="312"/>
      <c r="G73" s="314"/>
      <c r="H73" s="315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2"/>
    </row>
    <row r="74" spans="1:20" ht="13.5" customHeight="1" x14ac:dyDescent="0.25">
      <c r="A74" s="307">
        <v>2</v>
      </c>
      <c r="B74" s="307"/>
      <c r="C74" s="170" t="s">
        <v>44</v>
      </c>
      <c r="D74" s="309"/>
      <c r="E74" s="170"/>
      <c r="F74" s="311"/>
      <c r="G74" s="313"/>
      <c r="H74" s="315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2"/>
    </row>
    <row r="75" spans="1:20" ht="13.5" customHeight="1" x14ac:dyDescent="0.25">
      <c r="A75" s="308"/>
      <c r="B75" s="308"/>
      <c r="C75" s="171" t="str">
        <f>IFERROR(VLOOKUP(C74,Списки!$E:$F,2,0)," ")</f>
        <v>LEVASHOVSKOE HWY 20</v>
      </c>
      <c r="D75" s="310"/>
      <c r="E75" s="171" t="str">
        <f>IFERROR(VLOOKUP(E74,Списки!$E:$F,2,0)," ")</f>
        <v xml:space="preserve"> </v>
      </c>
      <c r="F75" s="312"/>
      <c r="G75" s="314"/>
      <c r="H75" s="315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2"/>
    </row>
    <row r="76" spans="1:20" ht="13.5" customHeight="1" x14ac:dyDescent="0.25">
      <c r="A76" s="307">
        <v>3</v>
      </c>
      <c r="B76" s="307"/>
      <c r="C76" s="170"/>
      <c r="D76" s="309"/>
      <c r="E76" s="170"/>
      <c r="F76" s="311"/>
      <c r="G76" s="313"/>
      <c r="H76" s="315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2"/>
    </row>
    <row r="77" spans="1:20" ht="13.5" customHeight="1" x14ac:dyDescent="0.25">
      <c r="A77" s="308"/>
      <c r="B77" s="308"/>
      <c r="C77" s="171" t="str">
        <f>IFERROR(VLOOKUP(C76,Списки!$E:$F,2,0)," ")</f>
        <v xml:space="preserve"> </v>
      </c>
      <c r="D77" s="310"/>
      <c r="E77" s="171" t="str">
        <f>IFERROR(VLOOKUP(E76,Списки!$E:$F,2,0)," ")</f>
        <v xml:space="preserve"> </v>
      </c>
      <c r="F77" s="312"/>
      <c r="G77" s="314"/>
      <c r="H77" s="315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2"/>
    </row>
    <row r="78" spans="1:20" ht="13.5" customHeight="1" x14ac:dyDescent="0.25">
      <c r="A78" s="307">
        <v>4</v>
      </c>
      <c r="B78" s="307"/>
      <c r="C78" s="170"/>
      <c r="D78" s="309"/>
      <c r="E78" s="170"/>
      <c r="F78" s="311"/>
      <c r="G78" s="313"/>
      <c r="H78" s="315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2"/>
    </row>
    <row r="79" spans="1:20" ht="13.5" customHeight="1" x14ac:dyDescent="0.25">
      <c r="A79" s="308"/>
      <c r="B79" s="308"/>
      <c r="C79" s="171" t="str">
        <f>IFERROR(VLOOKUP(C78,Списки!$E:$F,2,0)," ")</f>
        <v xml:space="preserve"> </v>
      </c>
      <c r="D79" s="310"/>
      <c r="E79" s="171" t="str">
        <f>IFERROR(VLOOKUP(E78,Списки!$E:$F,2,0)," ")</f>
        <v xml:space="preserve"> </v>
      </c>
      <c r="F79" s="312"/>
      <c r="G79" s="314"/>
      <c r="H79" s="315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2"/>
    </row>
    <row r="80" spans="1:20" ht="13.5" customHeight="1" x14ac:dyDescent="0.25">
      <c r="A80" s="307">
        <v>5</v>
      </c>
      <c r="B80" s="307"/>
      <c r="C80" s="170"/>
      <c r="D80" s="309"/>
      <c r="E80" s="172"/>
      <c r="F80" s="311"/>
      <c r="G80" s="313"/>
      <c r="H80" s="315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2"/>
    </row>
    <row r="81" spans="1:20" ht="13.5" customHeight="1" x14ac:dyDescent="0.25">
      <c r="A81" s="308"/>
      <c r="B81" s="308"/>
      <c r="C81" s="171" t="str">
        <f>IFERROR(VLOOKUP(C80,Списки!$E:$F,2,0)," ")</f>
        <v xml:space="preserve"> </v>
      </c>
      <c r="D81" s="310"/>
      <c r="E81" s="172" t="str">
        <f>IFERROR(VLOOKUP(E80,Списки!$E:$F,2,0)," ")</f>
        <v xml:space="preserve"> </v>
      </c>
      <c r="F81" s="312"/>
      <c r="G81" s="314"/>
      <c r="H81" s="315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2"/>
    </row>
    <row r="82" spans="1:20" ht="13.5" customHeight="1" x14ac:dyDescent="0.25">
      <c r="A82" s="307">
        <v>6</v>
      </c>
      <c r="B82" s="307"/>
      <c r="C82" s="170"/>
      <c r="D82" s="309"/>
      <c r="E82" s="170"/>
      <c r="F82" s="311"/>
      <c r="G82" s="313"/>
      <c r="H82" s="315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2"/>
    </row>
    <row r="83" spans="1:20" ht="13.5" customHeight="1" x14ac:dyDescent="0.25">
      <c r="A83" s="308"/>
      <c r="B83" s="308"/>
      <c r="C83" s="171" t="str">
        <f>IFERROR(VLOOKUP(C82,Списки!$E:$F,2,0)," ")</f>
        <v xml:space="preserve"> </v>
      </c>
      <c r="D83" s="310"/>
      <c r="E83" s="179" t="str">
        <f>IFERROR(VLOOKUP(E82,Списки!$E:$F,2,0)," ")</f>
        <v xml:space="preserve"> </v>
      </c>
      <c r="F83" s="312"/>
      <c r="G83" s="314"/>
      <c r="H83" s="315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2"/>
    </row>
    <row r="84" spans="1:20" ht="13.5" customHeight="1" x14ac:dyDescent="0.25">
      <c r="A84" s="307">
        <v>7</v>
      </c>
      <c r="B84" s="307"/>
      <c r="C84" s="170"/>
      <c r="D84" s="309"/>
      <c r="E84" s="170"/>
      <c r="F84" s="311"/>
      <c r="G84" s="313"/>
      <c r="H84" s="315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2"/>
    </row>
    <row r="85" spans="1:20" ht="13.5" customHeight="1" x14ac:dyDescent="0.25">
      <c r="A85" s="308"/>
      <c r="B85" s="308"/>
      <c r="C85" s="179" t="str">
        <f>IFERROR(VLOOKUP(C84,Списки!$E:$F,2,0)," ")</f>
        <v xml:space="preserve"> </v>
      </c>
      <c r="D85" s="310"/>
      <c r="E85" s="171" t="str">
        <f>IFERROR(VLOOKUP(E84,Списки!$E:$F,2,0)," ")</f>
        <v xml:space="preserve"> </v>
      </c>
      <c r="F85" s="312"/>
      <c r="G85" s="314"/>
      <c r="H85" s="315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2"/>
    </row>
    <row r="86" spans="1:20" ht="13.5" customHeight="1" x14ac:dyDescent="0.25">
      <c r="A86" s="307">
        <v>8</v>
      </c>
      <c r="B86" s="307"/>
      <c r="C86" s="170"/>
      <c r="D86" s="309"/>
      <c r="E86" s="170"/>
      <c r="F86" s="311"/>
      <c r="G86" s="313"/>
      <c r="H86" s="315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2"/>
    </row>
    <row r="87" spans="1:20" ht="13.5" customHeight="1" x14ac:dyDescent="0.25">
      <c r="A87" s="308"/>
      <c r="B87" s="308"/>
      <c r="C87" s="179" t="str">
        <f>IFERROR(VLOOKUP(C86,Списки!$E:$F,2,0)," ")</f>
        <v xml:space="preserve"> </v>
      </c>
      <c r="D87" s="310"/>
      <c r="E87" s="171" t="str">
        <f>IFERROR(VLOOKUP(E86,Списки!$E:$F,2,0)," ")</f>
        <v xml:space="preserve"> </v>
      </c>
      <c r="F87" s="312"/>
      <c r="G87" s="314"/>
      <c r="H87" s="315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2"/>
    </row>
    <row r="88" spans="1:20" ht="13.5" customHeight="1" x14ac:dyDescent="0.25">
      <c r="A88" s="307">
        <v>9</v>
      </c>
      <c r="B88" s="307"/>
      <c r="C88" s="170"/>
      <c r="D88" s="309"/>
      <c r="E88" s="170"/>
      <c r="F88" s="311"/>
      <c r="G88" s="313"/>
      <c r="H88" s="315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2"/>
    </row>
    <row r="89" spans="1:20" ht="13.5" customHeight="1" x14ac:dyDescent="0.25">
      <c r="A89" s="308"/>
      <c r="B89" s="308"/>
      <c r="C89" s="171" t="str">
        <f>IFERROR(VLOOKUP(C88,Списки!$E:$F,2,0)," ")</f>
        <v xml:space="preserve"> </v>
      </c>
      <c r="D89" s="310"/>
      <c r="E89" s="171" t="str">
        <f>IFERROR(VLOOKUP(E88,Списки!$E:$F,2,0)," ")</f>
        <v xml:space="preserve"> </v>
      </c>
      <c r="F89" s="312"/>
      <c r="G89" s="314"/>
      <c r="H89" s="315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2"/>
    </row>
    <row r="90" spans="1:20" ht="13.5" customHeight="1" x14ac:dyDescent="0.25">
      <c r="A90" s="307">
        <v>10</v>
      </c>
      <c r="B90" s="307"/>
      <c r="C90" s="170"/>
      <c r="D90" s="309"/>
      <c r="E90" s="170"/>
      <c r="F90" s="311"/>
      <c r="G90" s="313"/>
      <c r="H90" s="315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2"/>
    </row>
    <row r="91" spans="1:20" ht="13.5" customHeight="1" x14ac:dyDescent="0.25">
      <c r="A91" s="308"/>
      <c r="B91" s="308"/>
      <c r="C91" s="171" t="str">
        <f>IFERROR(VLOOKUP(C90,Списки!$E:$F,2,0)," ")</f>
        <v xml:space="preserve"> </v>
      </c>
      <c r="D91" s="310"/>
      <c r="E91" s="171" t="str">
        <f>IFERROR(VLOOKUP(E90,Списки!$E:$F,2,0)," ")</f>
        <v xml:space="preserve"> </v>
      </c>
      <c r="F91" s="312"/>
      <c r="G91" s="314"/>
      <c r="H91" s="315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2"/>
    </row>
    <row r="92" spans="1:20" ht="13.5" customHeight="1" x14ac:dyDescent="0.25">
      <c r="A92" s="307">
        <v>11</v>
      </c>
      <c r="B92" s="307"/>
      <c r="C92" s="170"/>
      <c r="D92" s="309"/>
      <c r="E92" s="170"/>
      <c r="F92" s="311"/>
      <c r="G92" s="313"/>
      <c r="H92" s="315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2"/>
    </row>
    <row r="93" spans="1:20" ht="13.5" customHeight="1" x14ac:dyDescent="0.25">
      <c r="A93" s="308"/>
      <c r="B93" s="308"/>
      <c r="C93" s="171" t="str">
        <f>IFERROR(VLOOKUP(C92,Списки!$E:$F,2,0)," ")</f>
        <v xml:space="preserve"> </v>
      </c>
      <c r="D93" s="310"/>
      <c r="E93" s="171" t="str">
        <f>IFERROR(VLOOKUP(E92,Списки!$E:$F,2,0)," ")</f>
        <v xml:space="preserve"> </v>
      </c>
      <c r="F93" s="312"/>
      <c r="G93" s="314"/>
      <c r="H93" s="315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2"/>
    </row>
    <row r="94" spans="1:20" ht="13.5" customHeight="1" x14ac:dyDescent="0.25">
      <c r="A94" s="307">
        <v>12</v>
      </c>
      <c r="B94" s="307"/>
      <c r="C94" s="170"/>
      <c r="D94" s="309"/>
      <c r="E94" s="170"/>
      <c r="F94" s="311"/>
      <c r="G94" s="313"/>
      <c r="H94" s="315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2"/>
    </row>
    <row r="95" spans="1:20" ht="13.5" customHeight="1" x14ac:dyDescent="0.25">
      <c r="A95" s="308"/>
      <c r="B95" s="308"/>
      <c r="C95" s="171" t="str">
        <f>IFERROR(VLOOKUP(C94,Списки!$E:$F,2,0)," ")</f>
        <v xml:space="preserve"> </v>
      </c>
      <c r="D95" s="310"/>
      <c r="E95" s="171" t="str">
        <f>IFERROR(VLOOKUP(E94,Списки!$E:$F,2,0)," ")</f>
        <v xml:space="preserve"> </v>
      </c>
      <c r="F95" s="312"/>
      <c r="G95" s="314"/>
      <c r="H95" s="315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2"/>
    </row>
    <row r="96" spans="1:20" ht="13.5" customHeight="1" x14ac:dyDescent="0.25">
      <c r="A96" s="307">
        <v>13</v>
      </c>
      <c r="B96" s="307"/>
      <c r="C96" s="170"/>
      <c r="D96" s="309"/>
      <c r="E96" s="170"/>
      <c r="F96" s="311"/>
      <c r="G96" s="313"/>
      <c r="H96" s="315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2"/>
    </row>
    <row r="97" spans="1:20" ht="13.5" customHeight="1" x14ac:dyDescent="0.25">
      <c r="A97" s="308"/>
      <c r="B97" s="308"/>
      <c r="C97" s="171" t="str">
        <f>IFERROR(VLOOKUP(C96,Списки!$E:$F,2,0)," ")</f>
        <v xml:space="preserve"> </v>
      </c>
      <c r="D97" s="310"/>
      <c r="E97" s="171" t="str">
        <f>IFERROR(VLOOKUP(E96,Списки!$E:$F,2,0)," ")</f>
        <v xml:space="preserve"> </v>
      </c>
      <c r="F97" s="312"/>
      <c r="G97" s="314"/>
      <c r="H97" s="315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2"/>
    </row>
    <row r="98" spans="1:20" ht="13.5" customHeight="1" x14ac:dyDescent="0.25">
      <c r="A98" s="307">
        <v>14</v>
      </c>
      <c r="B98" s="307"/>
      <c r="C98" s="170"/>
      <c r="D98" s="309"/>
      <c r="E98" s="170"/>
      <c r="F98" s="311"/>
      <c r="G98" s="313"/>
      <c r="H98" s="315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2"/>
    </row>
    <row r="99" spans="1:20" ht="13.5" customHeight="1" x14ac:dyDescent="0.25">
      <c r="A99" s="308"/>
      <c r="B99" s="308"/>
      <c r="C99" s="171" t="str">
        <f>IFERROR(VLOOKUP(C98,Списки!$E:$F,2,0)," ")</f>
        <v xml:space="preserve"> </v>
      </c>
      <c r="D99" s="310"/>
      <c r="E99" s="171" t="str">
        <f>IFERROR(VLOOKUP(E98,Списки!$E:$F,2,0)," ")</f>
        <v xml:space="preserve"> </v>
      </c>
      <c r="F99" s="312"/>
      <c r="G99" s="314"/>
      <c r="H99" s="315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2"/>
    </row>
    <row r="100" spans="1:20" ht="13.5" customHeight="1" x14ac:dyDescent="0.25">
      <c r="A100" s="307">
        <v>15</v>
      </c>
      <c r="B100" s="307"/>
      <c r="C100" s="170"/>
      <c r="D100" s="309"/>
      <c r="E100" s="170"/>
      <c r="F100" s="311"/>
      <c r="G100" s="313"/>
      <c r="H100" s="315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2"/>
    </row>
    <row r="101" spans="1:20" ht="13.5" customHeight="1" x14ac:dyDescent="0.25">
      <c r="A101" s="308"/>
      <c r="B101" s="308"/>
      <c r="C101" s="171" t="str">
        <f>IFERROR(VLOOKUP(C100,Списки!$E:$F,2,0)," ")</f>
        <v xml:space="preserve"> </v>
      </c>
      <c r="D101" s="310"/>
      <c r="E101" s="171" t="str">
        <f>IFERROR(VLOOKUP(E100,Списки!$E:$F,2,0)," ")</f>
        <v xml:space="preserve"> </v>
      </c>
      <c r="F101" s="312"/>
      <c r="G101" s="314"/>
      <c r="H101" s="315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2"/>
    </row>
    <row r="102" spans="1:20" x14ac:dyDescent="0.25">
      <c r="A102" s="36"/>
      <c r="B102" s="37"/>
      <c r="C102" s="173"/>
      <c r="D102" s="173"/>
      <c r="E102" s="174" t="s">
        <v>30</v>
      </c>
      <c r="F102" s="39">
        <f>IFERROR(SUM(IFERROR(IF((LOOKUP(9E+307,F72:F101))&gt;$M$39,(LOOKUP(9E+307,F72:F101))-$M$39,IF((LOOKUP(9E+307,F72:F101))&lt;0.166666667,0+(LOOKUP(9E+307,F72:F101))+1-$M$39,0)),0),(IF(AND(IF(D72,$M$38-D72,0)&gt;0,F72,F72&gt;D72),$M$38-D72,IF(AND(D72,F72,D72&gt;F72),"error",0)))),"ОШИБКА")</f>
        <v>0</v>
      </c>
      <c r="G102" s="40" t="s">
        <v>27</v>
      </c>
      <c r="H102" s="38">
        <f>SUM(H72:H101)</f>
        <v>0</v>
      </c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2"/>
    </row>
    <row r="103" spans="1:20" ht="15.75" x14ac:dyDescent="0.25">
      <c r="A103" s="316">
        <f>DATE(K1,J1,4)</f>
        <v>43834</v>
      </c>
      <c r="B103" s="316"/>
      <c r="C103" s="316"/>
      <c r="D103" s="316"/>
      <c r="E103" s="316"/>
      <c r="F103" s="316"/>
      <c r="G103" s="316"/>
      <c r="H103" s="317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2"/>
    </row>
    <row r="104" spans="1:20" ht="13.5" customHeight="1" x14ac:dyDescent="0.25">
      <c r="A104" s="318"/>
      <c r="B104" s="320" t="s">
        <v>34</v>
      </c>
      <c r="C104" s="175" t="s">
        <v>39</v>
      </c>
      <c r="D104" s="322" t="s">
        <v>36</v>
      </c>
      <c r="E104" s="175" t="s">
        <v>37</v>
      </c>
      <c r="F104" s="320" t="s">
        <v>36</v>
      </c>
      <c r="G104" s="324" t="s">
        <v>35</v>
      </c>
      <c r="H104" s="315" t="s">
        <v>40</v>
      </c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2"/>
    </row>
    <row r="105" spans="1:20" ht="13.5" customHeight="1" x14ac:dyDescent="0.25">
      <c r="A105" s="319"/>
      <c r="B105" s="321"/>
      <c r="C105" s="169" t="s">
        <v>38</v>
      </c>
      <c r="D105" s="323"/>
      <c r="E105" s="169" t="s">
        <v>38</v>
      </c>
      <c r="F105" s="321"/>
      <c r="G105" s="325"/>
      <c r="H105" s="315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2"/>
    </row>
    <row r="106" spans="1:20" ht="13.5" customHeight="1" x14ac:dyDescent="0.25">
      <c r="A106" s="307">
        <v>1</v>
      </c>
      <c r="B106" s="307"/>
      <c r="C106" s="170" t="s">
        <v>43</v>
      </c>
      <c r="D106" s="309"/>
      <c r="E106" s="170" t="s">
        <v>44</v>
      </c>
      <c r="F106" s="311"/>
      <c r="G106" s="313"/>
      <c r="H106" s="315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2"/>
    </row>
    <row r="107" spans="1:20" ht="13.5" customHeight="1" x14ac:dyDescent="0.25">
      <c r="A107" s="308"/>
      <c r="B107" s="308"/>
      <c r="C107" s="171" t="str">
        <f>IFERROR(VLOOKUP(C106,Списки!$E:$F,2,0)," ")</f>
        <v>SAVUSHKINA ST 128</v>
      </c>
      <c r="D107" s="310"/>
      <c r="E107" s="171" t="str">
        <f>IFERROR(VLOOKUP(E106,Списки!$E:$F,2,0)," ")</f>
        <v>LEVASHOVSKOE HWY 20</v>
      </c>
      <c r="F107" s="312"/>
      <c r="G107" s="314"/>
      <c r="H107" s="315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2"/>
    </row>
    <row r="108" spans="1:20" ht="13.5" customHeight="1" x14ac:dyDescent="0.25">
      <c r="A108" s="307">
        <v>2</v>
      </c>
      <c r="B108" s="307"/>
      <c r="C108" s="170" t="s">
        <v>44</v>
      </c>
      <c r="D108" s="309"/>
      <c r="E108" s="170"/>
      <c r="F108" s="311"/>
      <c r="G108" s="313"/>
      <c r="H108" s="315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2"/>
    </row>
    <row r="109" spans="1:20" ht="13.5" customHeight="1" x14ac:dyDescent="0.25">
      <c r="A109" s="308"/>
      <c r="B109" s="308"/>
      <c r="C109" s="171" t="str">
        <f>IFERROR(VLOOKUP(C108,Списки!$E:$F,2,0)," ")</f>
        <v>LEVASHOVSKOE HWY 20</v>
      </c>
      <c r="D109" s="310"/>
      <c r="E109" s="171" t="str">
        <f>IFERROR(VLOOKUP(E108,Списки!$E:$F,2,0)," ")</f>
        <v xml:space="preserve"> </v>
      </c>
      <c r="F109" s="312"/>
      <c r="G109" s="314"/>
      <c r="H109" s="315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2"/>
    </row>
    <row r="110" spans="1:20" ht="13.5" customHeight="1" x14ac:dyDescent="0.25">
      <c r="A110" s="307">
        <v>3</v>
      </c>
      <c r="B110" s="307"/>
      <c r="C110" s="170"/>
      <c r="D110" s="309"/>
      <c r="E110" s="170"/>
      <c r="F110" s="311"/>
      <c r="G110" s="313"/>
      <c r="H110" s="315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2"/>
    </row>
    <row r="111" spans="1:20" ht="13.5" customHeight="1" x14ac:dyDescent="0.25">
      <c r="A111" s="308"/>
      <c r="B111" s="308"/>
      <c r="C111" s="171" t="str">
        <f>IFERROR(VLOOKUP(C110,Списки!$E:$F,2,0)," ")</f>
        <v xml:space="preserve"> </v>
      </c>
      <c r="D111" s="310"/>
      <c r="E111" s="171" t="str">
        <f>IFERROR(VLOOKUP(E110,Списки!$E:$F,2,0)," ")</f>
        <v xml:space="preserve"> </v>
      </c>
      <c r="F111" s="312"/>
      <c r="G111" s="314"/>
      <c r="H111" s="315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2"/>
    </row>
    <row r="112" spans="1:20" ht="13.5" customHeight="1" x14ac:dyDescent="0.25">
      <c r="A112" s="307">
        <v>4</v>
      </c>
      <c r="B112" s="307"/>
      <c r="C112" s="170"/>
      <c r="D112" s="309"/>
      <c r="E112" s="170"/>
      <c r="F112" s="311"/>
      <c r="G112" s="313"/>
      <c r="H112" s="315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2"/>
    </row>
    <row r="113" spans="1:20" ht="13.5" customHeight="1" x14ac:dyDescent="0.25">
      <c r="A113" s="308"/>
      <c r="B113" s="308"/>
      <c r="C113" s="171" t="str">
        <f>IFERROR(VLOOKUP(C112,Списки!$E:$F,2,0)," ")</f>
        <v xml:space="preserve"> </v>
      </c>
      <c r="D113" s="310"/>
      <c r="E113" s="171" t="str">
        <f>IFERROR(VLOOKUP(E112,Списки!$E:$F,2,0)," ")</f>
        <v xml:space="preserve"> </v>
      </c>
      <c r="F113" s="312"/>
      <c r="G113" s="314"/>
      <c r="H113" s="315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2"/>
    </row>
    <row r="114" spans="1:20" ht="13.5" customHeight="1" x14ac:dyDescent="0.25">
      <c r="A114" s="307">
        <v>5</v>
      </c>
      <c r="B114" s="307"/>
      <c r="C114" s="170"/>
      <c r="D114" s="309"/>
      <c r="E114" s="172"/>
      <c r="F114" s="311"/>
      <c r="G114" s="313"/>
      <c r="H114" s="315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2"/>
    </row>
    <row r="115" spans="1:20" ht="13.5" customHeight="1" x14ac:dyDescent="0.25">
      <c r="A115" s="308"/>
      <c r="B115" s="308"/>
      <c r="C115" s="171" t="str">
        <f>IFERROR(VLOOKUP(C114,Списки!$E:$F,2,0)," ")</f>
        <v xml:space="preserve"> </v>
      </c>
      <c r="D115" s="310"/>
      <c r="E115" s="172" t="str">
        <f>IFERROR(VLOOKUP(E114,Списки!$E:$F,2,0)," ")</f>
        <v xml:space="preserve"> </v>
      </c>
      <c r="F115" s="312"/>
      <c r="G115" s="314"/>
      <c r="H115" s="315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2"/>
    </row>
    <row r="116" spans="1:20" ht="13.5" customHeight="1" x14ac:dyDescent="0.25">
      <c r="A116" s="307">
        <v>6</v>
      </c>
      <c r="B116" s="307"/>
      <c r="C116" s="170"/>
      <c r="D116" s="309"/>
      <c r="E116" s="170"/>
      <c r="F116" s="311"/>
      <c r="G116" s="313"/>
      <c r="H116" s="315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2"/>
    </row>
    <row r="117" spans="1:20" ht="13.5" customHeight="1" x14ac:dyDescent="0.25">
      <c r="A117" s="308"/>
      <c r="B117" s="308"/>
      <c r="C117" s="171" t="str">
        <f>IFERROR(VLOOKUP(C116,Списки!$E:$F,2,0)," ")</f>
        <v xml:space="preserve"> </v>
      </c>
      <c r="D117" s="310"/>
      <c r="E117" s="179" t="str">
        <f>IFERROR(VLOOKUP(E116,Списки!$E:$F,2,0)," ")</f>
        <v xml:space="preserve"> </v>
      </c>
      <c r="F117" s="312"/>
      <c r="G117" s="314"/>
      <c r="H117" s="315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2"/>
    </row>
    <row r="118" spans="1:20" ht="13.5" customHeight="1" x14ac:dyDescent="0.25">
      <c r="A118" s="307">
        <v>7</v>
      </c>
      <c r="B118" s="307"/>
      <c r="C118" s="170"/>
      <c r="D118" s="309"/>
      <c r="E118" s="170"/>
      <c r="F118" s="311"/>
      <c r="G118" s="313"/>
      <c r="H118" s="315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2"/>
    </row>
    <row r="119" spans="1:20" ht="13.5" customHeight="1" x14ac:dyDescent="0.25">
      <c r="A119" s="308"/>
      <c r="B119" s="308"/>
      <c r="C119" s="179" t="str">
        <f>IFERROR(VLOOKUP(C118,Списки!$E:$F,2,0)," ")</f>
        <v xml:space="preserve"> </v>
      </c>
      <c r="D119" s="310"/>
      <c r="E119" s="171" t="str">
        <f>IFERROR(VLOOKUP(E118,Списки!$E:$F,2,0)," ")</f>
        <v xml:space="preserve"> </v>
      </c>
      <c r="F119" s="312"/>
      <c r="G119" s="314"/>
      <c r="H119" s="315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2"/>
    </row>
    <row r="120" spans="1:20" ht="13.5" customHeight="1" x14ac:dyDescent="0.25">
      <c r="A120" s="307">
        <v>8</v>
      </c>
      <c r="B120" s="307"/>
      <c r="C120" s="170"/>
      <c r="D120" s="309"/>
      <c r="E120" s="170"/>
      <c r="F120" s="311"/>
      <c r="G120" s="313"/>
      <c r="H120" s="315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2"/>
    </row>
    <row r="121" spans="1:20" ht="13.5" customHeight="1" x14ac:dyDescent="0.25">
      <c r="A121" s="308"/>
      <c r="B121" s="308"/>
      <c r="C121" s="179" t="str">
        <f>IFERROR(VLOOKUP(C120,Списки!$E:$F,2,0)," ")</f>
        <v xml:space="preserve"> </v>
      </c>
      <c r="D121" s="310"/>
      <c r="E121" s="171" t="str">
        <f>IFERROR(VLOOKUP(E120,Списки!$E:$F,2,0)," ")</f>
        <v xml:space="preserve"> </v>
      </c>
      <c r="F121" s="312"/>
      <c r="G121" s="314"/>
      <c r="H121" s="315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2"/>
    </row>
    <row r="122" spans="1:20" ht="13.5" customHeight="1" x14ac:dyDescent="0.25">
      <c r="A122" s="307">
        <v>9</v>
      </c>
      <c r="B122" s="307"/>
      <c r="C122" s="170"/>
      <c r="D122" s="309"/>
      <c r="E122" s="170"/>
      <c r="F122" s="311"/>
      <c r="G122" s="313"/>
      <c r="H122" s="315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2"/>
    </row>
    <row r="123" spans="1:20" ht="13.5" customHeight="1" x14ac:dyDescent="0.25">
      <c r="A123" s="308"/>
      <c r="B123" s="308"/>
      <c r="C123" s="171" t="str">
        <f>IFERROR(VLOOKUP(C122,Списки!$E:$F,2,0)," ")</f>
        <v xml:space="preserve"> </v>
      </c>
      <c r="D123" s="310"/>
      <c r="E123" s="171" t="str">
        <f>IFERROR(VLOOKUP(E122,Списки!$E:$F,2,0)," ")</f>
        <v xml:space="preserve"> </v>
      </c>
      <c r="F123" s="312"/>
      <c r="G123" s="314"/>
      <c r="H123" s="315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2"/>
    </row>
    <row r="124" spans="1:20" ht="13.5" customHeight="1" x14ac:dyDescent="0.25">
      <c r="A124" s="307">
        <v>10</v>
      </c>
      <c r="B124" s="307"/>
      <c r="C124" s="170"/>
      <c r="D124" s="309"/>
      <c r="E124" s="170"/>
      <c r="F124" s="311"/>
      <c r="G124" s="313"/>
      <c r="H124" s="315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2"/>
    </row>
    <row r="125" spans="1:20" ht="13.5" customHeight="1" x14ac:dyDescent="0.25">
      <c r="A125" s="308"/>
      <c r="B125" s="308"/>
      <c r="C125" s="171" t="str">
        <f>IFERROR(VLOOKUP(C124,Списки!$E:$F,2,0)," ")</f>
        <v xml:space="preserve"> </v>
      </c>
      <c r="D125" s="310"/>
      <c r="E125" s="171" t="str">
        <f>IFERROR(VLOOKUP(E124,Списки!$E:$F,2,0)," ")</f>
        <v xml:space="preserve"> </v>
      </c>
      <c r="F125" s="312"/>
      <c r="G125" s="314"/>
      <c r="H125" s="315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2"/>
    </row>
    <row r="126" spans="1:20" ht="13.5" customHeight="1" x14ac:dyDescent="0.25">
      <c r="A126" s="307">
        <v>11</v>
      </c>
      <c r="B126" s="307"/>
      <c r="C126" s="170"/>
      <c r="D126" s="309"/>
      <c r="E126" s="170"/>
      <c r="F126" s="311"/>
      <c r="G126" s="313"/>
      <c r="H126" s="315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2"/>
    </row>
    <row r="127" spans="1:20" ht="13.5" customHeight="1" x14ac:dyDescent="0.25">
      <c r="A127" s="308"/>
      <c r="B127" s="308"/>
      <c r="C127" s="171" t="str">
        <f>IFERROR(VLOOKUP(C126,Списки!$E:$F,2,0)," ")</f>
        <v xml:space="preserve"> </v>
      </c>
      <c r="D127" s="310"/>
      <c r="E127" s="171" t="str">
        <f>IFERROR(VLOOKUP(E126,Списки!$E:$F,2,0)," ")</f>
        <v xml:space="preserve"> </v>
      </c>
      <c r="F127" s="312"/>
      <c r="G127" s="314"/>
      <c r="H127" s="315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2"/>
    </row>
    <row r="128" spans="1:20" ht="13.5" customHeight="1" x14ac:dyDescent="0.25">
      <c r="A128" s="307">
        <v>12</v>
      </c>
      <c r="B128" s="307"/>
      <c r="C128" s="170"/>
      <c r="D128" s="309"/>
      <c r="E128" s="170"/>
      <c r="F128" s="311"/>
      <c r="G128" s="313"/>
      <c r="H128" s="315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2"/>
    </row>
    <row r="129" spans="1:20" ht="13.5" customHeight="1" x14ac:dyDescent="0.25">
      <c r="A129" s="308"/>
      <c r="B129" s="308"/>
      <c r="C129" s="171" t="str">
        <f>IFERROR(VLOOKUP(C128,Списки!$E:$F,2,0)," ")</f>
        <v xml:space="preserve"> </v>
      </c>
      <c r="D129" s="310"/>
      <c r="E129" s="171" t="str">
        <f>IFERROR(VLOOKUP(E128,Списки!$E:$F,2,0)," ")</f>
        <v xml:space="preserve"> </v>
      </c>
      <c r="F129" s="312"/>
      <c r="G129" s="314"/>
      <c r="H129" s="315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2"/>
    </row>
    <row r="130" spans="1:20" ht="13.5" customHeight="1" x14ac:dyDescent="0.25">
      <c r="A130" s="307">
        <v>13</v>
      </c>
      <c r="B130" s="307"/>
      <c r="C130" s="170"/>
      <c r="D130" s="309"/>
      <c r="E130" s="170"/>
      <c r="F130" s="311"/>
      <c r="G130" s="313"/>
      <c r="H130" s="315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2"/>
    </row>
    <row r="131" spans="1:20" ht="13.5" customHeight="1" x14ac:dyDescent="0.25">
      <c r="A131" s="308"/>
      <c r="B131" s="308"/>
      <c r="C131" s="171" t="str">
        <f>IFERROR(VLOOKUP(C130,Списки!$E:$F,2,0)," ")</f>
        <v xml:space="preserve"> </v>
      </c>
      <c r="D131" s="310"/>
      <c r="E131" s="171" t="str">
        <f>IFERROR(VLOOKUP(E130,Списки!$E:$F,2,0)," ")</f>
        <v xml:space="preserve"> </v>
      </c>
      <c r="F131" s="312"/>
      <c r="G131" s="314"/>
      <c r="H131" s="315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2"/>
    </row>
    <row r="132" spans="1:20" ht="13.5" customHeight="1" x14ac:dyDescent="0.25">
      <c r="A132" s="307">
        <v>14</v>
      </c>
      <c r="B132" s="307"/>
      <c r="C132" s="170"/>
      <c r="D132" s="309"/>
      <c r="E132" s="170"/>
      <c r="F132" s="311"/>
      <c r="G132" s="313"/>
      <c r="H132" s="315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2"/>
    </row>
    <row r="133" spans="1:20" ht="13.5" customHeight="1" x14ac:dyDescent="0.25">
      <c r="A133" s="308"/>
      <c r="B133" s="308"/>
      <c r="C133" s="171" t="str">
        <f>IFERROR(VLOOKUP(C132,Списки!$E:$F,2,0)," ")</f>
        <v xml:space="preserve"> </v>
      </c>
      <c r="D133" s="310"/>
      <c r="E133" s="171" t="str">
        <f>IFERROR(VLOOKUP(E132,Списки!$E:$F,2,0)," ")</f>
        <v xml:space="preserve"> </v>
      </c>
      <c r="F133" s="312"/>
      <c r="G133" s="314"/>
      <c r="H133" s="315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2"/>
    </row>
    <row r="134" spans="1:20" ht="13.5" customHeight="1" x14ac:dyDescent="0.25">
      <c r="A134" s="307">
        <v>15</v>
      </c>
      <c r="B134" s="307"/>
      <c r="C134" s="170"/>
      <c r="D134" s="309"/>
      <c r="E134" s="170"/>
      <c r="F134" s="311"/>
      <c r="G134" s="313"/>
      <c r="H134" s="315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2"/>
    </row>
    <row r="135" spans="1:20" ht="13.5" customHeight="1" x14ac:dyDescent="0.25">
      <c r="A135" s="308"/>
      <c r="B135" s="308"/>
      <c r="C135" s="171" t="str">
        <f>IFERROR(VLOOKUP(C134,Списки!$E:$F,2,0)," ")</f>
        <v xml:space="preserve"> </v>
      </c>
      <c r="D135" s="310"/>
      <c r="E135" s="171" t="str">
        <f>IFERROR(VLOOKUP(E134,Списки!$E:$F,2,0)," ")</f>
        <v xml:space="preserve"> </v>
      </c>
      <c r="F135" s="312"/>
      <c r="G135" s="314"/>
      <c r="H135" s="315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2"/>
    </row>
    <row r="136" spans="1:20" x14ac:dyDescent="0.25">
      <c r="A136" s="36"/>
      <c r="B136" s="37"/>
      <c r="C136" s="173"/>
      <c r="D136" s="173"/>
      <c r="E136" s="174" t="s">
        <v>30</v>
      </c>
      <c r="F136" s="39">
        <f>IFERROR(SUM(IFERROR(IF((LOOKUP(9E+307,F106:F135))&gt;$M$39,(LOOKUP(9E+307,F106:F135))-$M$39,IF((LOOKUP(9E+307,F106:F135))&lt;0.166666667,0+(LOOKUP(9E+307,F106:F135))+1-$M$39,0)),0),(IF(AND(IF(D106,$M$38-D106,0)&gt;0,F106,F106&gt;D106),$M$38-D106,IF(AND(D106,F106,D106&gt;F106),"error",0)))),"ОШИБКА")</f>
        <v>0</v>
      </c>
      <c r="G136" s="40" t="s">
        <v>27</v>
      </c>
      <c r="H136" s="38">
        <f>SUM(H106:H135)</f>
        <v>0</v>
      </c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2"/>
    </row>
    <row r="137" spans="1:20" ht="15.75" x14ac:dyDescent="0.25">
      <c r="A137" s="316">
        <f>DATE(K1,J1,5)</f>
        <v>43835</v>
      </c>
      <c r="B137" s="316"/>
      <c r="C137" s="316"/>
      <c r="D137" s="316"/>
      <c r="E137" s="316"/>
      <c r="F137" s="316"/>
      <c r="G137" s="316"/>
      <c r="H137" s="317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2"/>
    </row>
    <row r="138" spans="1:20" ht="13.5" customHeight="1" x14ac:dyDescent="0.25">
      <c r="A138" s="318"/>
      <c r="B138" s="320" t="s">
        <v>34</v>
      </c>
      <c r="C138" s="175" t="s">
        <v>39</v>
      </c>
      <c r="D138" s="322" t="s">
        <v>36</v>
      </c>
      <c r="E138" s="175" t="s">
        <v>37</v>
      </c>
      <c r="F138" s="320" t="s">
        <v>36</v>
      </c>
      <c r="G138" s="324" t="s">
        <v>35</v>
      </c>
      <c r="H138" s="315" t="s">
        <v>40</v>
      </c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2"/>
    </row>
    <row r="139" spans="1:20" ht="13.5" customHeight="1" x14ac:dyDescent="0.25">
      <c r="A139" s="319"/>
      <c r="B139" s="321"/>
      <c r="C139" s="169" t="s">
        <v>38</v>
      </c>
      <c r="D139" s="323"/>
      <c r="E139" s="169" t="s">
        <v>38</v>
      </c>
      <c r="F139" s="321"/>
      <c r="G139" s="325"/>
      <c r="H139" s="315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2"/>
    </row>
    <row r="140" spans="1:20" ht="13.5" customHeight="1" x14ac:dyDescent="0.25">
      <c r="A140" s="307">
        <v>1</v>
      </c>
      <c r="B140" s="307"/>
      <c r="C140" s="170" t="s">
        <v>43</v>
      </c>
      <c r="D140" s="309"/>
      <c r="E140" s="170" t="s">
        <v>44</v>
      </c>
      <c r="F140" s="311"/>
      <c r="G140" s="313"/>
      <c r="H140" s="315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2"/>
    </row>
    <row r="141" spans="1:20" ht="13.5" customHeight="1" x14ac:dyDescent="0.25">
      <c r="A141" s="308"/>
      <c r="B141" s="308"/>
      <c r="C141" s="171" t="str">
        <f>IFERROR(VLOOKUP(C140,Списки!$E:$F,2,0)," ")</f>
        <v>SAVUSHKINA ST 128</v>
      </c>
      <c r="D141" s="310"/>
      <c r="E141" s="171" t="str">
        <f>IFERROR(VLOOKUP(E140,Списки!$E:$F,2,0)," ")</f>
        <v>LEVASHOVSKOE HWY 20</v>
      </c>
      <c r="F141" s="312"/>
      <c r="G141" s="314"/>
      <c r="H141" s="315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2"/>
    </row>
    <row r="142" spans="1:20" ht="13.5" customHeight="1" x14ac:dyDescent="0.25">
      <c r="A142" s="307">
        <v>2</v>
      </c>
      <c r="B142" s="307"/>
      <c r="C142" s="170" t="s">
        <v>44</v>
      </c>
      <c r="D142" s="309"/>
      <c r="E142" s="170"/>
      <c r="F142" s="311"/>
      <c r="G142" s="313"/>
      <c r="H142" s="315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2"/>
    </row>
    <row r="143" spans="1:20" ht="13.5" customHeight="1" x14ac:dyDescent="0.25">
      <c r="A143" s="308"/>
      <c r="B143" s="308"/>
      <c r="C143" s="171" t="str">
        <f>IFERROR(VLOOKUP(C142,Списки!$E:$F,2,0)," ")</f>
        <v>LEVASHOVSKOE HWY 20</v>
      </c>
      <c r="D143" s="310"/>
      <c r="E143" s="171" t="str">
        <f>IFERROR(VLOOKUP(E142,Списки!$E:$F,2,0)," ")</f>
        <v xml:space="preserve"> </v>
      </c>
      <c r="F143" s="312"/>
      <c r="G143" s="314"/>
      <c r="H143" s="315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2"/>
    </row>
    <row r="144" spans="1:20" ht="13.5" customHeight="1" x14ac:dyDescent="0.25">
      <c r="A144" s="307">
        <v>3</v>
      </c>
      <c r="B144" s="307"/>
      <c r="C144" s="170"/>
      <c r="D144" s="309"/>
      <c r="E144" s="170"/>
      <c r="F144" s="311"/>
      <c r="G144" s="313"/>
      <c r="H144" s="315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2"/>
    </row>
    <row r="145" spans="1:20" ht="13.5" customHeight="1" x14ac:dyDescent="0.25">
      <c r="A145" s="308"/>
      <c r="B145" s="308"/>
      <c r="C145" s="171" t="str">
        <f>IFERROR(VLOOKUP(C144,Списки!$E:$F,2,0)," ")</f>
        <v xml:space="preserve"> </v>
      </c>
      <c r="D145" s="310"/>
      <c r="E145" s="171" t="str">
        <f>IFERROR(VLOOKUP(E144,Списки!$E:$F,2,0)," ")</f>
        <v xml:space="preserve"> </v>
      </c>
      <c r="F145" s="312"/>
      <c r="G145" s="314"/>
      <c r="H145" s="315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2"/>
    </row>
    <row r="146" spans="1:20" ht="13.5" customHeight="1" x14ac:dyDescent="0.25">
      <c r="A146" s="307">
        <v>4</v>
      </c>
      <c r="B146" s="307"/>
      <c r="C146" s="170"/>
      <c r="D146" s="309"/>
      <c r="E146" s="170"/>
      <c r="F146" s="311"/>
      <c r="G146" s="313"/>
      <c r="H146" s="315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2"/>
    </row>
    <row r="147" spans="1:20" ht="13.5" customHeight="1" x14ac:dyDescent="0.25">
      <c r="A147" s="308"/>
      <c r="B147" s="308"/>
      <c r="C147" s="171" t="str">
        <f>IFERROR(VLOOKUP(C146,Списки!$E:$F,2,0)," ")</f>
        <v xml:space="preserve"> </v>
      </c>
      <c r="D147" s="310"/>
      <c r="E147" s="171" t="str">
        <f>IFERROR(VLOOKUP(E146,Списки!$E:$F,2,0)," ")</f>
        <v xml:space="preserve"> </v>
      </c>
      <c r="F147" s="312"/>
      <c r="G147" s="314"/>
      <c r="H147" s="315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2"/>
    </row>
    <row r="148" spans="1:20" ht="13.5" customHeight="1" x14ac:dyDescent="0.25">
      <c r="A148" s="307">
        <v>5</v>
      </c>
      <c r="B148" s="307"/>
      <c r="C148" s="170"/>
      <c r="D148" s="309"/>
      <c r="E148" s="172"/>
      <c r="F148" s="311"/>
      <c r="G148" s="313"/>
      <c r="H148" s="315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2"/>
    </row>
    <row r="149" spans="1:20" ht="13.5" customHeight="1" x14ac:dyDescent="0.25">
      <c r="A149" s="308"/>
      <c r="B149" s="308"/>
      <c r="C149" s="171" t="str">
        <f>IFERROR(VLOOKUP(C148,Списки!$E:$F,2,0)," ")</f>
        <v xml:space="preserve"> </v>
      </c>
      <c r="D149" s="310"/>
      <c r="E149" s="172" t="str">
        <f>IFERROR(VLOOKUP(E148,Списки!$E:$F,2,0)," ")</f>
        <v xml:space="preserve"> </v>
      </c>
      <c r="F149" s="312"/>
      <c r="G149" s="314"/>
      <c r="H149" s="315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2"/>
    </row>
    <row r="150" spans="1:20" ht="13.5" customHeight="1" x14ac:dyDescent="0.25">
      <c r="A150" s="307">
        <v>6</v>
      </c>
      <c r="B150" s="307"/>
      <c r="C150" s="170"/>
      <c r="D150" s="309"/>
      <c r="E150" s="170"/>
      <c r="F150" s="311"/>
      <c r="G150" s="313"/>
      <c r="H150" s="315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2"/>
    </row>
    <row r="151" spans="1:20" ht="13.5" customHeight="1" x14ac:dyDescent="0.25">
      <c r="A151" s="308"/>
      <c r="B151" s="308"/>
      <c r="C151" s="171" t="str">
        <f>IFERROR(VLOOKUP(C150,Списки!$E:$F,2,0)," ")</f>
        <v xml:space="preserve"> </v>
      </c>
      <c r="D151" s="310"/>
      <c r="E151" s="179" t="str">
        <f>IFERROR(VLOOKUP(E150,Списки!$E:$F,2,0)," ")</f>
        <v xml:space="preserve"> </v>
      </c>
      <c r="F151" s="312"/>
      <c r="G151" s="314"/>
      <c r="H151" s="315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2"/>
    </row>
    <row r="152" spans="1:20" ht="13.5" customHeight="1" x14ac:dyDescent="0.25">
      <c r="A152" s="307">
        <v>7</v>
      </c>
      <c r="B152" s="307"/>
      <c r="C152" s="170"/>
      <c r="D152" s="309"/>
      <c r="E152" s="170"/>
      <c r="F152" s="311"/>
      <c r="G152" s="313"/>
      <c r="H152" s="315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2"/>
    </row>
    <row r="153" spans="1:20" ht="13.5" customHeight="1" x14ac:dyDescent="0.25">
      <c r="A153" s="308"/>
      <c r="B153" s="308"/>
      <c r="C153" s="179" t="str">
        <f>IFERROR(VLOOKUP(C152,Списки!$E:$F,2,0)," ")</f>
        <v xml:space="preserve"> </v>
      </c>
      <c r="D153" s="310"/>
      <c r="E153" s="171" t="str">
        <f>IFERROR(VLOOKUP(E152,Списки!$E:$F,2,0)," ")</f>
        <v xml:space="preserve"> </v>
      </c>
      <c r="F153" s="312"/>
      <c r="G153" s="314"/>
      <c r="H153" s="315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2"/>
    </row>
    <row r="154" spans="1:20" ht="13.5" customHeight="1" x14ac:dyDescent="0.25">
      <c r="A154" s="307">
        <v>8</v>
      </c>
      <c r="B154" s="307"/>
      <c r="C154" s="170"/>
      <c r="D154" s="309"/>
      <c r="E154" s="170"/>
      <c r="F154" s="311"/>
      <c r="G154" s="313"/>
      <c r="H154" s="315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2"/>
    </row>
    <row r="155" spans="1:20" ht="13.5" customHeight="1" x14ac:dyDescent="0.25">
      <c r="A155" s="308"/>
      <c r="B155" s="308"/>
      <c r="C155" s="179" t="str">
        <f>IFERROR(VLOOKUP(C154,Списки!$E:$F,2,0)," ")</f>
        <v xml:space="preserve"> </v>
      </c>
      <c r="D155" s="310"/>
      <c r="E155" s="171" t="str">
        <f>IFERROR(VLOOKUP(E154,Списки!$E:$F,2,0)," ")</f>
        <v xml:space="preserve"> </v>
      </c>
      <c r="F155" s="312"/>
      <c r="G155" s="314"/>
      <c r="H155" s="315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2"/>
    </row>
    <row r="156" spans="1:20" ht="13.5" customHeight="1" x14ac:dyDescent="0.25">
      <c r="A156" s="307">
        <v>9</v>
      </c>
      <c r="B156" s="307"/>
      <c r="C156" s="170"/>
      <c r="D156" s="309"/>
      <c r="E156" s="170"/>
      <c r="F156" s="311"/>
      <c r="G156" s="313"/>
      <c r="H156" s="315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2"/>
    </row>
    <row r="157" spans="1:20" ht="13.5" customHeight="1" x14ac:dyDescent="0.25">
      <c r="A157" s="308"/>
      <c r="B157" s="308"/>
      <c r="C157" s="171" t="str">
        <f>IFERROR(VLOOKUP(C156,Списки!$E:$F,2,0)," ")</f>
        <v xml:space="preserve"> </v>
      </c>
      <c r="D157" s="310"/>
      <c r="E157" s="171" t="str">
        <f>IFERROR(VLOOKUP(E156,Списки!$E:$F,2,0)," ")</f>
        <v xml:space="preserve"> </v>
      </c>
      <c r="F157" s="312"/>
      <c r="G157" s="314"/>
      <c r="H157" s="315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2"/>
    </row>
    <row r="158" spans="1:20" ht="13.5" customHeight="1" x14ac:dyDescent="0.25">
      <c r="A158" s="307">
        <v>10</v>
      </c>
      <c r="B158" s="307"/>
      <c r="C158" s="170"/>
      <c r="D158" s="309"/>
      <c r="E158" s="170"/>
      <c r="F158" s="311"/>
      <c r="G158" s="313"/>
      <c r="H158" s="315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2"/>
    </row>
    <row r="159" spans="1:20" ht="13.5" customHeight="1" x14ac:dyDescent="0.25">
      <c r="A159" s="308"/>
      <c r="B159" s="308"/>
      <c r="C159" s="171" t="str">
        <f>IFERROR(VLOOKUP(C158,Списки!$E:$F,2,0)," ")</f>
        <v xml:space="preserve"> </v>
      </c>
      <c r="D159" s="310"/>
      <c r="E159" s="171" t="str">
        <f>IFERROR(VLOOKUP(E158,Списки!$E:$F,2,0)," ")</f>
        <v xml:space="preserve"> </v>
      </c>
      <c r="F159" s="312"/>
      <c r="G159" s="314"/>
      <c r="H159" s="315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2"/>
    </row>
    <row r="160" spans="1:20" ht="13.5" customHeight="1" x14ac:dyDescent="0.25">
      <c r="A160" s="307">
        <v>11</v>
      </c>
      <c r="B160" s="307"/>
      <c r="C160" s="170"/>
      <c r="D160" s="309"/>
      <c r="E160" s="170"/>
      <c r="F160" s="311"/>
      <c r="G160" s="313"/>
      <c r="H160" s="315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2"/>
    </row>
    <row r="161" spans="1:20" ht="13.5" customHeight="1" x14ac:dyDescent="0.25">
      <c r="A161" s="308"/>
      <c r="B161" s="308"/>
      <c r="C161" s="171" t="str">
        <f>IFERROR(VLOOKUP(C160,Списки!$E:$F,2,0)," ")</f>
        <v xml:space="preserve"> </v>
      </c>
      <c r="D161" s="310"/>
      <c r="E161" s="171" t="str">
        <f>IFERROR(VLOOKUP(E160,Списки!$E:$F,2,0)," ")</f>
        <v xml:space="preserve"> </v>
      </c>
      <c r="F161" s="312"/>
      <c r="G161" s="314"/>
      <c r="H161" s="315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2"/>
    </row>
    <row r="162" spans="1:20" ht="13.5" customHeight="1" x14ac:dyDescent="0.25">
      <c r="A162" s="307">
        <v>12</v>
      </c>
      <c r="B162" s="307"/>
      <c r="C162" s="170"/>
      <c r="D162" s="309"/>
      <c r="E162" s="170"/>
      <c r="F162" s="311"/>
      <c r="G162" s="313"/>
      <c r="H162" s="315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2"/>
    </row>
    <row r="163" spans="1:20" ht="13.5" customHeight="1" x14ac:dyDescent="0.25">
      <c r="A163" s="308"/>
      <c r="B163" s="308"/>
      <c r="C163" s="171" t="str">
        <f>IFERROR(VLOOKUP(C162,Списки!$E:$F,2,0)," ")</f>
        <v xml:space="preserve"> </v>
      </c>
      <c r="D163" s="310"/>
      <c r="E163" s="171" t="str">
        <f>IFERROR(VLOOKUP(E162,Списки!$E:$F,2,0)," ")</f>
        <v xml:space="preserve"> </v>
      </c>
      <c r="F163" s="312"/>
      <c r="G163" s="314"/>
      <c r="H163" s="315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2"/>
    </row>
    <row r="164" spans="1:20" ht="13.5" customHeight="1" x14ac:dyDescent="0.25">
      <c r="A164" s="307">
        <v>13</v>
      </c>
      <c r="B164" s="307"/>
      <c r="C164" s="170"/>
      <c r="D164" s="309"/>
      <c r="E164" s="170"/>
      <c r="F164" s="311"/>
      <c r="G164" s="313"/>
      <c r="H164" s="315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2"/>
    </row>
    <row r="165" spans="1:20" ht="13.5" customHeight="1" x14ac:dyDescent="0.25">
      <c r="A165" s="308"/>
      <c r="B165" s="308"/>
      <c r="C165" s="171" t="str">
        <f>IFERROR(VLOOKUP(C164,Списки!$E:$F,2,0)," ")</f>
        <v xml:space="preserve"> </v>
      </c>
      <c r="D165" s="310"/>
      <c r="E165" s="171" t="str">
        <f>IFERROR(VLOOKUP(E164,Списки!$E:$F,2,0)," ")</f>
        <v xml:space="preserve"> </v>
      </c>
      <c r="F165" s="312"/>
      <c r="G165" s="314"/>
      <c r="H165" s="315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2"/>
    </row>
    <row r="166" spans="1:20" ht="13.5" customHeight="1" x14ac:dyDescent="0.25">
      <c r="A166" s="307">
        <v>14</v>
      </c>
      <c r="B166" s="307"/>
      <c r="C166" s="170"/>
      <c r="D166" s="309"/>
      <c r="E166" s="170"/>
      <c r="F166" s="311"/>
      <c r="G166" s="313"/>
      <c r="H166" s="315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2"/>
    </row>
    <row r="167" spans="1:20" ht="13.5" customHeight="1" x14ac:dyDescent="0.25">
      <c r="A167" s="308"/>
      <c r="B167" s="308"/>
      <c r="C167" s="171" t="str">
        <f>IFERROR(VLOOKUP(C166,Списки!$E:$F,2,0)," ")</f>
        <v xml:space="preserve"> </v>
      </c>
      <c r="D167" s="310"/>
      <c r="E167" s="171" t="str">
        <f>IFERROR(VLOOKUP(E166,Списки!$E:$F,2,0)," ")</f>
        <v xml:space="preserve"> </v>
      </c>
      <c r="F167" s="312"/>
      <c r="G167" s="314"/>
      <c r="H167" s="315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2"/>
    </row>
    <row r="168" spans="1:20" ht="13.5" customHeight="1" x14ac:dyDescent="0.25">
      <c r="A168" s="307">
        <v>15</v>
      </c>
      <c r="B168" s="307"/>
      <c r="C168" s="170"/>
      <c r="D168" s="309"/>
      <c r="E168" s="170"/>
      <c r="F168" s="311"/>
      <c r="G168" s="313"/>
      <c r="H168" s="315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2"/>
    </row>
    <row r="169" spans="1:20" ht="13.5" customHeight="1" x14ac:dyDescent="0.25">
      <c r="A169" s="308"/>
      <c r="B169" s="308"/>
      <c r="C169" s="171" t="str">
        <f>IFERROR(VLOOKUP(C168,Списки!$E:$F,2,0)," ")</f>
        <v xml:space="preserve"> </v>
      </c>
      <c r="D169" s="310"/>
      <c r="E169" s="171" t="str">
        <f>IFERROR(VLOOKUP(E168,Списки!$E:$F,2,0)," ")</f>
        <v xml:space="preserve"> </v>
      </c>
      <c r="F169" s="312"/>
      <c r="G169" s="314"/>
      <c r="H169" s="315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2"/>
    </row>
    <row r="170" spans="1:20" x14ac:dyDescent="0.25">
      <c r="A170" s="36"/>
      <c r="B170" s="37"/>
      <c r="C170" s="173"/>
      <c r="D170" s="173"/>
      <c r="E170" s="174" t="s">
        <v>30</v>
      </c>
      <c r="F170" s="39">
        <f>IFERROR(SUM(IFERROR(IF((LOOKUP(9E+307,F140:F169))&gt;$M$39,(LOOKUP(9E+307,F140:F169))-$M$39,IF((LOOKUP(9E+307,F140:F169))&lt;0.166666667,0+(LOOKUP(9E+307,F140:F169))+1-$M$39,0)),0),(IF(AND(IF(D140,$M$38-D140,0)&gt;0,F140,F140&gt;D140),$M$38-D140,IF(AND(D140,F140,D140&gt;F140),"error",0)))),"ОШИБКА")</f>
        <v>0</v>
      </c>
      <c r="G170" s="40" t="s">
        <v>27</v>
      </c>
      <c r="H170" s="38">
        <f>SUM(H140:H169)</f>
        <v>0</v>
      </c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2"/>
    </row>
    <row r="171" spans="1:20" ht="15.75" x14ac:dyDescent="0.25">
      <c r="A171" s="316">
        <f>DATE(K1,J1,6)</f>
        <v>43836</v>
      </c>
      <c r="B171" s="316"/>
      <c r="C171" s="316"/>
      <c r="D171" s="316"/>
      <c r="E171" s="316"/>
      <c r="F171" s="316"/>
      <c r="G171" s="316"/>
      <c r="H171" s="316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2"/>
    </row>
    <row r="172" spans="1:20" ht="13.5" customHeight="1" x14ac:dyDescent="0.25">
      <c r="A172" s="318"/>
      <c r="B172" s="320" t="s">
        <v>34</v>
      </c>
      <c r="C172" s="175" t="s">
        <v>39</v>
      </c>
      <c r="D172" s="322" t="s">
        <v>36</v>
      </c>
      <c r="E172" s="175" t="s">
        <v>37</v>
      </c>
      <c r="F172" s="320" t="s">
        <v>36</v>
      </c>
      <c r="G172" s="324" t="s">
        <v>35</v>
      </c>
      <c r="H172" s="315" t="s">
        <v>40</v>
      </c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2"/>
    </row>
    <row r="173" spans="1:20" ht="13.5" customHeight="1" x14ac:dyDescent="0.25">
      <c r="A173" s="319"/>
      <c r="B173" s="321"/>
      <c r="C173" s="169" t="s">
        <v>38</v>
      </c>
      <c r="D173" s="323"/>
      <c r="E173" s="169" t="s">
        <v>38</v>
      </c>
      <c r="F173" s="321"/>
      <c r="G173" s="325"/>
      <c r="H173" s="315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2"/>
    </row>
    <row r="174" spans="1:20" ht="13.5" customHeight="1" x14ac:dyDescent="0.25">
      <c r="A174" s="307">
        <v>1</v>
      </c>
      <c r="B174" s="307"/>
      <c r="C174" s="170" t="s">
        <v>43</v>
      </c>
      <c r="D174" s="309"/>
      <c r="E174" s="170" t="s">
        <v>44</v>
      </c>
      <c r="F174" s="311"/>
      <c r="G174" s="313"/>
      <c r="H174" s="315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2"/>
    </row>
    <row r="175" spans="1:20" ht="13.5" customHeight="1" x14ac:dyDescent="0.25">
      <c r="A175" s="308"/>
      <c r="B175" s="308"/>
      <c r="C175" s="171" t="str">
        <f>IFERROR(VLOOKUP(C174,Списки!$E:$F,2,0)," ")</f>
        <v>SAVUSHKINA ST 128</v>
      </c>
      <c r="D175" s="310"/>
      <c r="E175" s="171" t="str">
        <f>IFERROR(VLOOKUP(E174,Списки!$E:$F,2,0)," ")</f>
        <v>LEVASHOVSKOE HWY 20</v>
      </c>
      <c r="F175" s="312"/>
      <c r="G175" s="314"/>
      <c r="H175" s="315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2"/>
    </row>
    <row r="176" spans="1:20" ht="13.5" customHeight="1" x14ac:dyDescent="0.25">
      <c r="A176" s="307">
        <v>2</v>
      </c>
      <c r="B176" s="307"/>
      <c r="C176" s="170" t="s">
        <v>44</v>
      </c>
      <c r="D176" s="309"/>
      <c r="E176" s="170"/>
      <c r="F176" s="311"/>
      <c r="G176" s="313"/>
      <c r="H176" s="315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2"/>
    </row>
    <row r="177" spans="1:20" ht="13.5" customHeight="1" x14ac:dyDescent="0.25">
      <c r="A177" s="308"/>
      <c r="B177" s="308"/>
      <c r="C177" s="171" t="str">
        <f>IFERROR(VLOOKUP(C176,Списки!$E:$F,2,0)," ")</f>
        <v>LEVASHOVSKOE HWY 20</v>
      </c>
      <c r="D177" s="310"/>
      <c r="E177" s="171" t="str">
        <f>IFERROR(VLOOKUP(E176,Списки!$E:$F,2,0)," ")</f>
        <v xml:space="preserve"> </v>
      </c>
      <c r="F177" s="312"/>
      <c r="G177" s="314"/>
      <c r="H177" s="315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2"/>
    </row>
    <row r="178" spans="1:20" ht="13.5" customHeight="1" x14ac:dyDescent="0.25">
      <c r="A178" s="307">
        <v>3</v>
      </c>
      <c r="B178" s="307"/>
      <c r="C178" s="170"/>
      <c r="D178" s="309"/>
      <c r="E178" s="170"/>
      <c r="F178" s="311"/>
      <c r="G178" s="313"/>
      <c r="H178" s="315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2"/>
    </row>
    <row r="179" spans="1:20" ht="13.5" customHeight="1" x14ac:dyDescent="0.25">
      <c r="A179" s="308"/>
      <c r="B179" s="308"/>
      <c r="C179" s="171" t="str">
        <f>IFERROR(VLOOKUP(C178,Списки!$E:$F,2,0)," ")</f>
        <v xml:space="preserve"> </v>
      </c>
      <c r="D179" s="310"/>
      <c r="E179" s="171" t="str">
        <f>IFERROR(VLOOKUP(E178,Списки!$E:$F,2,0)," ")</f>
        <v xml:space="preserve"> </v>
      </c>
      <c r="F179" s="312"/>
      <c r="G179" s="314"/>
      <c r="H179" s="315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2"/>
    </row>
    <row r="180" spans="1:20" ht="13.5" customHeight="1" x14ac:dyDescent="0.25">
      <c r="A180" s="307">
        <v>4</v>
      </c>
      <c r="B180" s="307"/>
      <c r="C180" s="170"/>
      <c r="D180" s="309"/>
      <c r="E180" s="170"/>
      <c r="F180" s="311"/>
      <c r="G180" s="313"/>
      <c r="H180" s="315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2"/>
    </row>
    <row r="181" spans="1:20" ht="13.5" customHeight="1" x14ac:dyDescent="0.25">
      <c r="A181" s="308"/>
      <c r="B181" s="308"/>
      <c r="C181" s="171" t="str">
        <f>IFERROR(VLOOKUP(C180,Списки!$E:$F,2,0)," ")</f>
        <v xml:space="preserve"> </v>
      </c>
      <c r="D181" s="310"/>
      <c r="E181" s="171" t="str">
        <f>IFERROR(VLOOKUP(E180,Списки!$E:$F,2,0)," ")</f>
        <v xml:space="preserve"> </v>
      </c>
      <c r="F181" s="312"/>
      <c r="G181" s="314"/>
      <c r="H181" s="315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2"/>
    </row>
    <row r="182" spans="1:20" ht="13.5" customHeight="1" x14ac:dyDescent="0.25">
      <c r="A182" s="307">
        <v>5</v>
      </c>
      <c r="B182" s="307"/>
      <c r="C182" s="170"/>
      <c r="D182" s="309"/>
      <c r="E182" s="172"/>
      <c r="F182" s="311"/>
      <c r="G182" s="313"/>
      <c r="H182" s="315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2"/>
    </row>
    <row r="183" spans="1:20" ht="13.5" customHeight="1" x14ac:dyDescent="0.25">
      <c r="A183" s="308"/>
      <c r="B183" s="308"/>
      <c r="C183" s="171" t="str">
        <f>IFERROR(VLOOKUP(C182,Списки!$E:$F,2,0)," ")</f>
        <v xml:space="preserve"> </v>
      </c>
      <c r="D183" s="310"/>
      <c r="E183" s="172" t="str">
        <f>IFERROR(VLOOKUP(E182,Списки!$E:$F,2,0)," ")</f>
        <v xml:space="preserve"> </v>
      </c>
      <c r="F183" s="312"/>
      <c r="G183" s="314"/>
      <c r="H183" s="315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2"/>
    </row>
    <row r="184" spans="1:20" ht="13.5" customHeight="1" x14ac:dyDescent="0.25">
      <c r="A184" s="307">
        <v>6</v>
      </c>
      <c r="B184" s="307"/>
      <c r="C184" s="170"/>
      <c r="D184" s="309"/>
      <c r="E184" s="170"/>
      <c r="F184" s="311"/>
      <c r="G184" s="313"/>
      <c r="H184" s="315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2"/>
    </row>
    <row r="185" spans="1:20" ht="13.5" customHeight="1" x14ac:dyDescent="0.25">
      <c r="A185" s="308"/>
      <c r="B185" s="308"/>
      <c r="C185" s="171" t="str">
        <f>IFERROR(VLOOKUP(C184,Списки!$E:$F,2,0)," ")</f>
        <v xml:space="preserve"> </v>
      </c>
      <c r="D185" s="310"/>
      <c r="E185" s="179" t="str">
        <f>IFERROR(VLOOKUP(E184,Списки!$E:$F,2,0)," ")</f>
        <v xml:space="preserve"> </v>
      </c>
      <c r="F185" s="312"/>
      <c r="G185" s="314"/>
      <c r="H185" s="315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2"/>
    </row>
    <row r="186" spans="1:20" ht="13.5" customHeight="1" x14ac:dyDescent="0.25">
      <c r="A186" s="307">
        <v>7</v>
      </c>
      <c r="B186" s="307"/>
      <c r="C186" s="170"/>
      <c r="D186" s="309"/>
      <c r="E186" s="170"/>
      <c r="F186" s="311"/>
      <c r="G186" s="313"/>
      <c r="H186" s="315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2"/>
    </row>
    <row r="187" spans="1:20" ht="13.5" customHeight="1" x14ac:dyDescent="0.25">
      <c r="A187" s="308"/>
      <c r="B187" s="308"/>
      <c r="C187" s="179" t="str">
        <f>IFERROR(VLOOKUP(C186,Списки!$E:$F,2,0)," ")</f>
        <v xml:space="preserve"> </v>
      </c>
      <c r="D187" s="310"/>
      <c r="E187" s="171" t="str">
        <f>IFERROR(VLOOKUP(E186,Списки!$E:$F,2,0)," ")</f>
        <v xml:space="preserve"> </v>
      </c>
      <c r="F187" s="312"/>
      <c r="G187" s="314"/>
      <c r="H187" s="315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2"/>
    </row>
    <row r="188" spans="1:20" ht="13.5" customHeight="1" x14ac:dyDescent="0.25">
      <c r="A188" s="307">
        <v>8</v>
      </c>
      <c r="B188" s="307"/>
      <c r="C188" s="170"/>
      <c r="D188" s="309"/>
      <c r="E188" s="170"/>
      <c r="F188" s="311"/>
      <c r="G188" s="313"/>
      <c r="H188" s="315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2"/>
    </row>
    <row r="189" spans="1:20" ht="13.5" customHeight="1" x14ac:dyDescent="0.25">
      <c r="A189" s="308"/>
      <c r="B189" s="308"/>
      <c r="C189" s="179" t="str">
        <f>IFERROR(VLOOKUP(C188,Списки!$E:$F,2,0)," ")</f>
        <v xml:space="preserve"> </v>
      </c>
      <c r="D189" s="310"/>
      <c r="E189" s="171" t="str">
        <f>IFERROR(VLOOKUP(E188,Списки!$E:$F,2,0)," ")</f>
        <v xml:space="preserve"> </v>
      </c>
      <c r="F189" s="312"/>
      <c r="G189" s="314"/>
      <c r="H189" s="315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2"/>
    </row>
    <row r="190" spans="1:20" ht="13.5" customHeight="1" x14ac:dyDescent="0.25">
      <c r="A190" s="307">
        <v>9</v>
      </c>
      <c r="B190" s="307"/>
      <c r="C190" s="170"/>
      <c r="D190" s="309"/>
      <c r="E190" s="170"/>
      <c r="F190" s="311"/>
      <c r="G190" s="313"/>
      <c r="H190" s="315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2"/>
    </row>
    <row r="191" spans="1:20" ht="13.5" customHeight="1" x14ac:dyDescent="0.25">
      <c r="A191" s="308"/>
      <c r="B191" s="308"/>
      <c r="C191" s="171" t="str">
        <f>IFERROR(VLOOKUP(C190,Списки!$E:$F,2,0)," ")</f>
        <v xml:space="preserve"> </v>
      </c>
      <c r="D191" s="310"/>
      <c r="E191" s="171" t="str">
        <f>IFERROR(VLOOKUP(E190,Списки!$E:$F,2,0)," ")</f>
        <v xml:space="preserve"> </v>
      </c>
      <c r="F191" s="312"/>
      <c r="G191" s="314"/>
      <c r="H191" s="315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2"/>
    </row>
    <row r="192" spans="1:20" ht="13.5" customHeight="1" x14ac:dyDescent="0.25">
      <c r="A192" s="307">
        <v>10</v>
      </c>
      <c r="B192" s="307"/>
      <c r="C192" s="170"/>
      <c r="D192" s="309"/>
      <c r="E192" s="170"/>
      <c r="F192" s="311"/>
      <c r="G192" s="313"/>
      <c r="H192" s="315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2"/>
    </row>
    <row r="193" spans="1:20" ht="13.5" customHeight="1" x14ac:dyDescent="0.25">
      <c r="A193" s="308"/>
      <c r="B193" s="308"/>
      <c r="C193" s="171" t="str">
        <f>IFERROR(VLOOKUP(C192,Списки!$E:$F,2,0)," ")</f>
        <v xml:space="preserve"> </v>
      </c>
      <c r="D193" s="310"/>
      <c r="E193" s="171" t="str">
        <f>IFERROR(VLOOKUP(E192,Списки!$E:$F,2,0)," ")</f>
        <v xml:space="preserve"> </v>
      </c>
      <c r="F193" s="312"/>
      <c r="G193" s="314"/>
      <c r="H193" s="315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2"/>
    </row>
    <row r="194" spans="1:20" ht="13.5" customHeight="1" x14ac:dyDescent="0.25">
      <c r="A194" s="307">
        <v>11</v>
      </c>
      <c r="B194" s="307"/>
      <c r="C194" s="170"/>
      <c r="D194" s="309"/>
      <c r="E194" s="170"/>
      <c r="F194" s="311"/>
      <c r="G194" s="313"/>
      <c r="H194" s="315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2"/>
    </row>
    <row r="195" spans="1:20" ht="13.5" customHeight="1" x14ac:dyDescent="0.25">
      <c r="A195" s="308"/>
      <c r="B195" s="308"/>
      <c r="C195" s="171" t="str">
        <f>IFERROR(VLOOKUP(C194,Списки!$E:$F,2,0)," ")</f>
        <v xml:space="preserve"> </v>
      </c>
      <c r="D195" s="310"/>
      <c r="E195" s="171" t="str">
        <f>IFERROR(VLOOKUP(E194,Списки!$E:$F,2,0)," ")</f>
        <v xml:space="preserve"> </v>
      </c>
      <c r="F195" s="312"/>
      <c r="G195" s="314"/>
      <c r="H195" s="315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2"/>
    </row>
    <row r="196" spans="1:20" ht="13.5" customHeight="1" x14ac:dyDescent="0.25">
      <c r="A196" s="307">
        <v>12</v>
      </c>
      <c r="B196" s="307"/>
      <c r="C196" s="170"/>
      <c r="D196" s="309"/>
      <c r="E196" s="170"/>
      <c r="F196" s="311"/>
      <c r="G196" s="313"/>
      <c r="H196" s="315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2"/>
    </row>
    <row r="197" spans="1:20" ht="13.5" customHeight="1" x14ac:dyDescent="0.25">
      <c r="A197" s="308"/>
      <c r="B197" s="308"/>
      <c r="C197" s="171" t="str">
        <f>IFERROR(VLOOKUP(C196,Списки!$E:$F,2,0)," ")</f>
        <v xml:space="preserve"> </v>
      </c>
      <c r="D197" s="310"/>
      <c r="E197" s="171" t="str">
        <f>IFERROR(VLOOKUP(E196,Списки!$E:$F,2,0)," ")</f>
        <v xml:space="preserve"> </v>
      </c>
      <c r="F197" s="312"/>
      <c r="G197" s="314"/>
      <c r="H197" s="315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2"/>
    </row>
    <row r="198" spans="1:20" ht="13.5" customHeight="1" x14ac:dyDescent="0.25">
      <c r="A198" s="307">
        <v>13</v>
      </c>
      <c r="B198" s="307"/>
      <c r="C198" s="170"/>
      <c r="D198" s="309"/>
      <c r="E198" s="170"/>
      <c r="F198" s="311"/>
      <c r="G198" s="313"/>
      <c r="H198" s="315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2"/>
    </row>
    <row r="199" spans="1:20" ht="13.5" customHeight="1" x14ac:dyDescent="0.25">
      <c r="A199" s="308"/>
      <c r="B199" s="308"/>
      <c r="C199" s="171" t="str">
        <f>IFERROR(VLOOKUP(C198,Списки!$E:$F,2,0)," ")</f>
        <v xml:space="preserve"> </v>
      </c>
      <c r="D199" s="310"/>
      <c r="E199" s="171" t="str">
        <f>IFERROR(VLOOKUP(E198,Списки!$E:$F,2,0)," ")</f>
        <v xml:space="preserve"> </v>
      </c>
      <c r="F199" s="312"/>
      <c r="G199" s="314"/>
      <c r="H199" s="315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2"/>
    </row>
    <row r="200" spans="1:20" ht="13.5" customHeight="1" x14ac:dyDescent="0.25">
      <c r="A200" s="307">
        <v>14</v>
      </c>
      <c r="B200" s="307"/>
      <c r="C200" s="170"/>
      <c r="D200" s="309"/>
      <c r="E200" s="170"/>
      <c r="F200" s="311"/>
      <c r="G200" s="313"/>
      <c r="H200" s="315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2"/>
    </row>
    <row r="201" spans="1:20" ht="13.5" customHeight="1" x14ac:dyDescent="0.25">
      <c r="A201" s="308"/>
      <c r="B201" s="308"/>
      <c r="C201" s="171" t="str">
        <f>IFERROR(VLOOKUP(C200,Списки!$E:$F,2,0)," ")</f>
        <v xml:space="preserve"> </v>
      </c>
      <c r="D201" s="310"/>
      <c r="E201" s="171" t="str">
        <f>IFERROR(VLOOKUP(E200,Списки!$E:$F,2,0)," ")</f>
        <v xml:space="preserve"> </v>
      </c>
      <c r="F201" s="312"/>
      <c r="G201" s="314"/>
      <c r="H201" s="315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2"/>
    </row>
    <row r="202" spans="1:20" ht="13.5" customHeight="1" x14ac:dyDescent="0.25">
      <c r="A202" s="307">
        <v>15</v>
      </c>
      <c r="B202" s="307"/>
      <c r="C202" s="170"/>
      <c r="D202" s="309"/>
      <c r="E202" s="170"/>
      <c r="F202" s="311"/>
      <c r="G202" s="313"/>
      <c r="H202" s="315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2"/>
    </row>
    <row r="203" spans="1:20" ht="13.5" customHeight="1" x14ac:dyDescent="0.25">
      <c r="A203" s="308"/>
      <c r="B203" s="308"/>
      <c r="C203" s="171" t="str">
        <f>IFERROR(VLOOKUP(C202,Списки!$E:$F,2,0)," ")</f>
        <v xml:space="preserve"> </v>
      </c>
      <c r="D203" s="310"/>
      <c r="E203" s="171" t="str">
        <f>IFERROR(VLOOKUP(E202,Списки!$E:$F,2,0)," ")</f>
        <v xml:space="preserve"> </v>
      </c>
      <c r="F203" s="312"/>
      <c r="G203" s="314"/>
      <c r="H203" s="315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2"/>
    </row>
    <row r="204" spans="1:20" x14ac:dyDescent="0.25">
      <c r="A204" s="36"/>
      <c r="B204" s="37"/>
      <c r="C204" s="173"/>
      <c r="D204" s="173"/>
      <c r="E204" s="174" t="s">
        <v>30</v>
      </c>
      <c r="F204" s="39">
        <f>IFERROR(SUM(IFERROR(IF((LOOKUP(9E+307,F174:F203))&gt;$M$39,(LOOKUP(9E+307,F174:F203))-$M$39,IF((LOOKUP(9E+307,F174:F203))&lt;0.166666667,0+(LOOKUP(9E+307,F174:F203))+1-$M$39,0)),0),(IF(AND(IF(D174,$M$38-D174,0)&gt;0,F174,F174&gt;D174),$M$38-D174,IF(AND(D174,F174,D174&gt;F174),"error",0)))),"ОШИБКА")</f>
        <v>0</v>
      </c>
      <c r="G204" s="40" t="s">
        <v>27</v>
      </c>
      <c r="H204" s="38">
        <f>SUM(H174:H203)</f>
        <v>0</v>
      </c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2"/>
    </row>
    <row r="205" spans="1:20" ht="15.75" x14ac:dyDescent="0.25">
      <c r="A205" s="316">
        <f>DATE(K1,J1,7)</f>
        <v>43837</v>
      </c>
      <c r="B205" s="316"/>
      <c r="C205" s="316"/>
      <c r="D205" s="316"/>
      <c r="E205" s="316"/>
      <c r="F205" s="316"/>
      <c r="G205" s="316"/>
      <c r="H205" s="316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2"/>
    </row>
    <row r="206" spans="1:20" ht="13.5" customHeight="1" x14ac:dyDescent="0.25">
      <c r="A206" s="318"/>
      <c r="B206" s="320" t="s">
        <v>34</v>
      </c>
      <c r="C206" s="175" t="s">
        <v>39</v>
      </c>
      <c r="D206" s="322" t="s">
        <v>36</v>
      </c>
      <c r="E206" s="175" t="s">
        <v>37</v>
      </c>
      <c r="F206" s="320" t="s">
        <v>36</v>
      </c>
      <c r="G206" s="324" t="s">
        <v>35</v>
      </c>
      <c r="H206" s="315" t="s">
        <v>40</v>
      </c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2"/>
    </row>
    <row r="207" spans="1:20" ht="13.5" customHeight="1" x14ac:dyDescent="0.25">
      <c r="A207" s="319"/>
      <c r="B207" s="321"/>
      <c r="C207" s="169" t="s">
        <v>38</v>
      </c>
      <c r="D207" s="323"/>
      <c r="E207" s="169" t="s">
        <v>38</v>
      </c>
      <c r="F207" s="321"/>
      <c r="G207" s="325"/>
      <c r="H207" s="315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2"/>
    </row>
    <row r="208" spans="1:20" ht="13.5" customHeight="1" x14ac:dyDescent="0.25">
      <c r="A208" s="307">
        <v>1</v>
      </c>
      <c r="B208" s="307"/>
      <c r="C208" s="170" t="s">
        <v>43</v>
      </c>
      <c r="D208" s="309"/>
      <c r="E208" s="170" t="s">
        <v>44</v>
      </c>
      <c r="F208" s="311"/>
      <c r="G208" s="313"/>
      <c r="H208" s="315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2"/>
    </row>
    <row r="209" spans="1:20" ht="13.5" customHeight="1" x14ac:dyDescent="0.25">
      <c r="A209" s="308"/>
      <c r="B209" s="308"/>
      <c r="C209" s="171" t="str">
        <f>IFERROR(VLOOKUP(C208,Списки!$E:$F,2,0)," ")</f>
        <v>SAVUSHKINA ST 128</v>
      </c>
      <c r="D209" s="310"/>
      <c r="E209" s="171" t="str">
        <f>IFERROR(VLOOKUP(E208,Списки!$E:$F,2,0)," ")</f>
        <v>LEVASHOVSKOE HWY 20</v>
      </c>
      <c r="F209" s="312"/>
      <c r="G209" s="314"/>
      <c r="H209" s="315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2"/>
    </row>
    <row r="210" spans="1:20" ht="13.5" customHeight="1" x14ac:dyDescent="0.25">
      <c r="A210" s="307">
        <v>2</v>
      </c>
      <c r="B210" s="307"/>
      <c r="C210" s="170" t="s">
        <v>44</v>
      </c>
      <c r="D210" s="309"/>
      <c r="E210" s="170"/>
      <c r="F210" s="311"/>
      <c r="G210" s="313"/>
      <c r="H210" s="315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2"/>
    </row>
    <row r="211" spans="1:20" ht="13.5" customHeight="1" x14ac:dyDescent="0.25">
      <c r="A211" s="308"/>
      <c r="B211" s="308"/>
      <c r="C211" s="171" t="str">
        <f>IFERROR(VLOOKUP(C210,Списки!$E:$F,2,0)," ")</f>
        <v>LEVASHOVSKOE HWY 20</v>
      </c>
      <c r="D211" s="310"/>
      <c r="E211" s="171" t="str">
        <f>IFERROR(VLOOKUP(E210,Списки!$E:$F,2,0)," ")</f>
        <v xml:space="preserve"> </v>
      </c>
      <c r="F211" s="312"/>
      <c r="G211" s="314"/>
      <c r="H211" s="315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2"/>
    </row>
    <row r="212" spans="1:20" ht="13.5" customHeight="1" x14ac:dyDescent="0.25">
      <c r="A212" s="307">
        <v>3</v>
      </c>
      <c r="B212" s="307"/>
      <c r="C212" s="170"/>
      <c r="D212" s="309"/>
      <c r="E212" s="170"/>
      <c r="F212" s="311"/>
      <c r="G212" s="313"/>
      <c r="H212" s="315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2"/>
    </row>
    <row r="213" spans="1:20" ht="13.5" customHeight="1" x14ac:dyDescent="0.25">
      <c r="A213" s="308"/>
      <c r="B213" s="308"/>
      <c r="C213" s="171" t="str">
        <f>IFERROR(VLOOKUP(C212,Списки!$E:$F,2,0)," ")</f>
        <v xml:space="preserve"> </v>
      </c>
      <c r="D213" s="310"/>
      <c r="E213" s="171" t="str">
        <f>IFERROR(VLOOKUP(E212,Списки!$E:$F,2,0)," ")</f>
        <v xml:space="preserve"> </v>
      </c>
      <c r="F213" s="312"/>
      <c r="G213" s="314"/>
      <c r="H213" s="315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2"/>
    </row>
    <row r="214" spans="1:20" ht="13.5" customHeight="1" x14ac:dyDescent="0.25">
      <c r="A214" s="307">
        <v>4</v>
      </c>
      <c r="B214" s="307"/>
      <c r="C214" s="170"/>
      <c r="D214" s="309"/>
      <c r="E214" s="170"/>
      <c r="F214" s="311"/>
      <c r="G214" s="313"/>
      <c r="H214" s="315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2"/>
    </row>
    <row r="215" spans="1:20" ht="13.5" customHeight="1" x14ac:dyDescent="0.25">
      <c r="A215" s="308"/>
      <c r="B215" s="308"/>
      <c r="C215" s="171" t="str">
        <f>IFERROR(VLOOKUP(C214,Списки!$E:$F,2,0)," ")</f>
        <v xml:space="preserve"> </v>
      </c>
      <c r="D215" s="310"/>
      <c r="E215" s="171" t="str">
        <f>IFERROR(VLOOKUP(E214,Списки!$E:$F,2,0)," ")</f>
        <v xml:space="preserve"> </v>
      </c>
      <c r="F215" s="312"/>
      <c r="G215" s="314"/>
      <c r="H215" s="315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2"/>
    </row>
    <row r="216" spans="1:20" ht="13.5" customHeight="1" x14ac:dyDescent="0.25">
      <c r="A216" s="307">
        <v>5</v>
      </c>
      <c r="B216" s="307"/>
      <c r="C216" s="170"/>
      <c r="D216" s="309"/>
      <c r="E216" s="172"/>
      <c r="F216" s="311"/>
      <c r="G216" s="313"/>
      <c r="H216" s="315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2"/>
    </row>
    <row r="217" spans="1:20" ht="13.5" customHeight="1" x14ac:dyDescent="0.25">
      <c r="A217" s="308"/>
      <c r="B217" s="308"/>
      <c r="C217" s="171" t="str">
        <f>IFERROR(VLOOKUP(C216,Списки!$E:$F,2,0)," ")</f>
        <v xml:space="preserve"> </v>
      </c>
      <c r="D217" s="310"/>
      <c r="E217" s="172" t="str">
        <f>IFERROR(VLOOKUP(E216,Списки!$E:$F,2,0)," ")</f>
        <v xml:space="preserve"> </v>
      </c>
      <c r="F217" s="312"/>
      <c r="G217" s="314"/>
      <c r="H217" s="315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2"/>
    </row>
    <row r="218" spans="1:20" ht="13.5" customHeight="1" x14ac:dyDescent="0.25">
      <c r="A218" s="307">
        <v>6</v>
      </c>
      <c r="B218" s="307"/>
      <c r="C218" s="170"/>
      <c r="D218" s="309"/>
      <c r="E218" s="170"/>
      <c r="F218" s="311"/>
      <c r="G218" s="313"/>
      <c r="H218" s="315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2"/>
    </row>
    <row r="219" spans="1:20" ht="13.5" customHeight="1" x14ac:dyDescent="0.25">
      <c r="A219" s="308"/>
      <c r="B219" s="308"/>
      <c r="C219" s="171" t="str">
        <f>IFERROR(VLOOKUP(C218,Списки!$E:$F,2,0)," ")</f>
        <v xml:space="preserve"> </v>
      </c>
      <c r="D219" s="310"/>
      <c r="E219" s="179" t="str">
        <f>IFERROR(VLOOKUP(E218,Списки!$E:$F,2,0)," ")</f>
        <v xml:space="preserve"> </v>
      </c>
      <c r="F219" s="312"/>
      <c r="G219" s="314"/>
      <c r="H219" s="315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2"/>
    </row>
    <row r="220" spans="1:20" ht="13.5" customHeight="1" x14ac:dyDescent="0.25">
      <c r="A220" s="307">
        <v>7</v>
      </c>
      <c r="B220" s="307"/>
      <c r="C220" s="170"/>
      <c r="D220" s="309"/>
      <c r="E220" s="170"/>
      <c r="F220" s="311"/>
      <c r="G220" s="313"/>
      <c r="H220" s="315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2"/>
    </row>
    <row r="221" spans="1:20" ht="13.5" customHeight="1" x14ac:dyDescent="0.25">
      <c r="A221" s="308"/>
      <c r="B221" s="308"/>
      <c r="C221" s="179" t="str">
        <f>IFERROR(VLOOKUP(C220,Списки!$E:$F,2,0)," ")</f>
        <v xml:space="preserve"> </v>
      </c>
      <c r="D221" s="310"/>
      <c r="E221" s="171" t="str">
        <f>IFERROR(VLOOKUP(E220,Списки!$E:$F,2,0)," ")</f>
        <v xml:space="preserve"> </v>
      </c>
      <c r="F221" s="312"/>
      <c r="G221" s="314"/>
      <c r="H221" s="315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2"/>
    </row>
    <row r="222" spans="1:20" ht="13.5" customHeight="1" x14ac:dyDescent="0.25">
      <c r="A222" s="307">
        <v>8</v>
      </c>
      <c r="B222" s="307"/>
      <c r="C222" s="170"/>
      <c r="D222" s="309"/>
      <c r="E222" s="170"/>
      <c r="F222" s="311"/>
      <c r="G222" s="313"/>
      <c r="H222" s="315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2"/>
    </row>
    <row r="223" spans="1:20" ht="13.5" customHeight="1" x14ac:dyDescent="0.25">
      <c r="A223" s="308"/>
      <c r="B223" s="308"/>
      <c r="C223" s="179" t="str">
        <f>IFERROR(VLOOKUP(C222,Списки!$E:$F,2,0)," ")</f>
        <v xml:space="preserve"> </v>
      </c>
      <c r="D223" s="310"/>
      <c r="E223" s="171" t="str">
        <f>IFERROR(VLOOKUP(E222,Списки!$E:$F,2,0)," ")</f>
        <v xml:space="preserve"> </v>
      </c>
      <c r="F223" s="312"/>
      <c r="G223" s="314"/>
      <c r="H223" s="315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2"/>
    </row>
    <row r="224" spans="1:20" ht="13.5" customHeight="1" x14ac:dyDescent="0.25">
      <c r="A224" s="307">
        <v>9</v>
      </c>
      <c r="B224" s="307"/>
      <c r="C224" s="170"/>
      <c r="D224" s="309"/>
      <c r="E224" s="170"/>
      <c r="F224" s="311"/>
      <c r="G224" s="313"/>
      <c r="H224" s="315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2"/>
    </row>
    <row r="225" spans="1:20" ht="13.5" customHeight="1" x14ac:dyDescent="0.25">
      <c r="A225" s="308"/>
      <c r="B225" s="308"/>
      <c r="C225" s="171" t="str">
        <f>IFERROR(VLOOKUP(C224,Списки!$E:$F,2,0)," ")</f>
        <v xml:space="preserve"> </v>
      </c>
      <c r="D225" s="310"/>
      <c r="E225" s="171" t="str">
        <f>IFERROR(VLOOKUP(E224,Списки!$E:$F,2,0)," ")</f>
        <v xml:space="preserve"> </v>
      </c>
      <c r="F225" s="312"/>
      <c r="G225" s="314"/>
      <c r="H225" s="315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2"/>
    </row>
    <row r="226" spans="1:20" ht="13.5" customHeight="1" x14ac:dyDescent="0.25">
      <c r="A226" s="307">
        <v>10</v>
      </c>
      <c r="B226" s="307"/>
      <c r="C226" s="170"/>
      <c r="D226" s="309"/>
      <c r="E226" s="170"/>
      <c r="F226" s="311"/>
      <c r="G226" s="313"/>
      <c r="H226" s="315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2"/>
    </row>
    <row r="227" spans="1:20" ht="13.5" customHeight="1" x14ac:dyDescent="0.25">
      <c r="A227" s="308"/>
      <c r="B227" s="308"/>
      <c r="C227" s="171" t="str">
        <f>IFERROR(VLOOKUP(C226,Списки!$E:$F,2,0)," ")</f>
        <v xml:space="preserve"> </v>
      </c>
      <c r="D227" s="310"/>
      <c r="E227" s="171" t="str">
        <f>IFERROR(VLOOKUP(E226,Списки!$E:$F,2,0)," ")</f>
        <v xml:space="preserve"> </v>
      </c>
      <c r="F227" s="312"/>
      <c r="G227" s="314"/>
      <c r="H227" s="315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2"/>
    </row>
    <row r="228" spans="1:20" ht="13.5" customHeight="1" x14ac:dyDescent="0.25">
      <c r="A228" s="307">
        <v>11</v>
      </c>
      <c r="B228" s="307"/>
      <c r="C228" s="170"/>
      <c r="D228" s="309"/>
      <c r="E228" s="170"/>
      <c r="F228" s="311"/>
      <c r="G228" s="313"/>
      <c r="H228" s="315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2"/>
    </row>
    <row r="229" spans="1:20" ht="13.5" customHeight="1" x14ac:dyDescent="0.25">
      <c r="A229" s="308"/>
      <c r="B229" s="308"/>
      <c r="C229" s="171" t="str">
        <f>IFERROR(VLOOKUP(C228,Списки!$E:$F,2,0)," ")</f>
        <v xml:space="preserve"> </v>
      </c>
      <c r="D229" s="310"/>
      <c r="E229" s="171" t="str">
        <f>IFERROR(VLOOKUP(E228,Списки!$E:$F,2,0)," ")</f>
        <v xml:space="preserve"> </v>
      </c>
      <c r="F229" s="312"/>
      <c r="G229" s="314"/>
      <c r="H229" s="315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2"/>
    </row>
    <row r="230" spans="1:20" ht="13.5" customHeight="1" x14ac:dyDescent="0.25">
      <c r="A230" s="307">
        <v>12</v>
      </c>
      <c r="B230" s="307"/>
      <c r="C230" s="170"/>
      <c r="D230" s="309"/>
      <c r="E230" s="170"/>
      <c r="F230" s="311"/>
      <c r="G230" s="313"/>
      <c r="H230" s="315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2"/>
    </row>
    <row r="231" spans="1:20" ht="13.5" customHeight="1" x14ac:dyDescent="0.25">
      <c r="A231" s="308"/>
      <c r="B231" s="308"/>
      <c r="C231" s="171" t="str">
        <f>IFERROR(VLOOKUP(C230,Списки!$E:$F,2,0)," ")</f>
        <v xml:space="preserve"> </v>
      </c>
      <c r="D231" s="310"/>
      <c r="E231" s="171" t="str">
        <f>IFERROR(VLOOKUP(E230,Списки!$E:$F,2,0)," ")</f>
        <v xml:space="preserve"> </v>
      </c>
      <c r="F231" s="312"/>
      <c r="G231" s="314"/>
      <c r="H231" s="315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2"/>
    </row>
    <row r="232" spans="1:20" ht="13.5" customHeight="1" x14ac:dyDescent="0.25">
      <c r="A232" s="307">
        <v>13</v>
      </c>
      <c r="B232" s="307"/>
      <c r="C232" s="170"/>
      <c r="D232" s="309"/>
      <c r="E232" s="170"/>
      <c r="F232" s="311"/>
      <c r="G232" s="313"/>
      <c r="H232" s="315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2"/>
    </row>
    <row r="233" spans="1:20" ht="13.5" customHeight="1" x14ac:dyDescent="0.25">
      <c r="A233" s="308"/>
      <c r="B233" s="308"/>
      <c r="C233" s="171" t="str">
        <f>IFERROR(VLOOKUP(C232,Списки!$E:$F,2,0)," ")</f>
        <v xml:space="preserve"> </v>
      </c>
      <c r="D233" s="310"/>
      <c r="E233" s="171" t="str">
        <f>IFERROR(VLOOKUP(E232,Списки!$E:$F,2,0)," ")</f>
        <v xml:space="preserve"> </v>
      </c>
      <c r="F233" s="312"/>
      <c r="G233" s="314"/>
      <c r="H233" s="315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2"/>
    </row>
    <row r="234" spans="1:20" ht="13.5" customHeight="1" x14ac:dyDescent="0.25">
      <c r="A234" s="307">
        <v>14</v>
      </c>
      <c r="B234" s="307"/>
      <c r="C234" s="170"/>
      <c r="D234" s="309"/>
      <c r="E234" s="170"/>
      <c r="F234" s="311"/>
      <c r="G234" s="313"/>
      <c r="H234" s="315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2"/>
    </row>
    <row r="235" spans="1:20" ht="13.5" customHeight="1" x14ac:dyDescent="0.25">
      <c r="A235" s="308"/>
      <c r="B235" s="308"/>
      <c r="C235" s="171" t="str">
        <f>IFERROR(VLOOKUP(C234,Списки!$E:$F,2,0)," ")</f>
        <v xml:space="preserve"> </v>
      </c>
      <c r="D235" s="310"/>
      <c r="E235" s="171" t="str">
        <f>IFERROR(VLOOKUP(E234,Списки!$E:$F,2,0)," ")</f>
        <v xml:space="preserve"> </v>
      </c>
      <c r="F235" s="312"/>
      <c r="G235" s="314"/>
      <c r="H235" s="315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2"/>
    </row>
    <row r="236" spans="1:20" ht="13.5" customHeight="1" x14ac:dyDescent="0.25">
      <c r="A236" s="307">
        <v>15</v>
      </c>
      <c r="B236" s="307"/>
      <c r="C236" s="170"/>
      <c r="D236" s="309"/>
      <c r="E236" s="170"/>
      <c r="F236" s="311"/>
      <c r="G236" s="313"/>
      <c r="H236" s="315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2"/>
    </row>
    <row r="237" spans="1:20" ht="13.5" customHeight="1" x14ac:dyDescent="0.25">
      <c r="A237" s="308"/>
      <c r="B237" s="308"/>
      <c r="C237" s="171" t="str">
        <f>IFERROR(VLOOKUP(C236,Списки!$E:$F,2,0)," ")</f>
        <v xml:space="preserve"> </v>
      </c>
      <c r="D237" s="310"/>
      <c r="E237" s="171" t="str">
        <f>IFERROR(VLOOKUP(E236,Списки!$E:$F,2,0)," ")</f>
        <v xml:space="preserve"> </v>
      </c>
      <c r="F237" s="312"/>
      <c r="G237" s="314"/>
      <c r="H237" s="315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2"/>
    </row>
    <row r="238" spans="1:20" x14ac:dyDescent="0.25">
      <c r="A238" s="36"/>
      <c r="B238" s="37"/>
      <c r="C238" s="173"/>
      <c r="D238" s="173"/>
      <c r="E238" s="174" t="s">
        <v>30</v>
      </c>
      <c r="F238" s="39">
        <f>IFERROR(SUM(IFERROR(IF((LOOKUP(9E+307,F208:F237))&gt;$M$39,(LOOKUP(9E+307,F208:F237))-$M$39,IF((LOOKUP(9E+307,F208:F237))&lt;0.166666667,0+(LOOKUP(9E+307,F208:F237))+1-$M$39,0)),0),(IF(AND(IF(D208,$M$38-D208,0)&gt;0,F208,F208&gt;D208),$M$38-D208,IF(AND(D208,F208,D208&gt;F208),"error",0)))),"ОШИБКА")</f>
        <v>0</v>
      </c>
      <c r="G238" s="40" t="s">
        <v>27</v>
      </c>
      <c r="H238" s="38">
        <f>SUM(H208:H237)</f>
        <v>0</v>
      </c>
      <c r="I238" s="8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2"/>
    </row>
    <row r="239" spans="1:20" ht="15.75" x14ac:dyDescent="0.25">
      <c r="A239" s="316">
        <f>DATE(K1,J1,8)</f>
        <v>43838</v>
      </c>
      <c r="B239" s="316"/>
      <c r="C239" s="316"/>
      <c r="D239" s="316"/>
      <c r="E239" s="316"/>
      <c r="F239" s="316"/>
      <c r="G239" s="316"/>
      <c r="H239" s="317"/>
      <c r="I239" s="8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2"/>
    </row>
    <row r="240" spans="1:20" ht="13.5" customHeight="1" x14ac:dyDescent="0.25">
      <c r="A240" s="318"/>
      <c r="B240" s="320" t="s">
        <v>34</v>
      </c>
      <c r="C240" s="175" t="s">
        <v>39</v>
      </c>
      <c r="D240" s="322" t="s">
        <v>36</v>
      </c>
      <c r="E240" s="175" t="s">
        <v>37</v>
      </c>
      <c r="F240" s="320" t="s">
        <v>36</v>
      </c>
      <c r="G240" s="324" t="s">
        <v>35</v>
      </c>
      <c r="H240" s="315" t="s">
        <v>40</v>
      </c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2"/>
    </row>
    <row r="241" spans="1:20" ht="13.5" customHeight="1" x14ac:dyDescent="0.25">
      <c r="A241" s="319"/>
      <c r="B241" s="321"/>
      <c r="C241" s="169" t="s">
        <v>38</v>
      </c>
      <c r="D241" s="323"/>
      <c r="E241" s="169" t="s">
        <v>38</v>
      </c>
      <c r="F241" s="321"/>
      <c r="G241" s="325"/>
      <c r="H241" s="315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2"/>
    </row>
    <row r="242" spans="1:20" ht="13.5" customHeight="1" x14ac:dyDescent="0.25">
      <c r="A242" s="307">
        <v>1</v>
      </c>
      <c r="B242" s="307"/>
      <c r="C242" s="170" t="s">
        <v>43</v>
      </c>
      <c r="D242" s="309"/>
      <c r="E242" s="170" t="s">
        <v>44</v>
      </c>
      <c r="F242" s="311"/>
      <c r="G242" s="313"/>
      <c r="H242" s="315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2"/>
    </row>
    <row r="243" spans="1:20" ht="13.5" customHeight="1" x14ac:dyDescent="0.25">
      <c r="A243" s="308"/>
      <c r="B243" s="308"/>
      <c r="C243" s="171" t="str">
        <f>IFERROR(VLOOKUP(C242,Списки!$E:$F,2,0)," ")</f>
        <v>SAVUSHKINA ST 128</v>
      </c>
      <c r="D243" s="310"/>
      <c r="E243" s="171" t="str">
        <f>IFERROR(VLOOKUP(E242,Списки!$E:$F,2,0)," ")</f>
        <v>LEVASHOVSKOE HWY 20</v>
      </c>
      <c r="F243" s="312"/>
      <c r="G243" s="314"/>
      <c r="H243" s="315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2"/>
    </row>
    <row r="244" spans="1:20" ht="13.5" customHeight="1" x14ac:dyDescent="0.25">
      <c r="A244" s="307">
        <v>2</v>
      </c>
      <c r="B244" s="307"/>
      <c r="C244" s="170" t="s">
        <v>44</v>
      </c>
      <c r="D244" s="309"/>
      <c r="E244" s="170"/>
      <c r="F244" s="311"/>
      <c r="G244" s="313"/>
      <c r="H244" s="315"/>
      <c r="I244" s="8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2"/>
    </row>
    <row r="245" spans="1:20" ht="13.5" customHeight="1" x14ac:dyDescent="0.25">
      <c r="A245" s="308"/>
      <c r="B245" s="308"/>
      <c r="C245" s="171" t="str">
        <f>IFERROR(VLOOKUP(C244,Списки!$E:$F,2,0)," ")</f>
        <v>LEVASHOVSKOE HWY 20</v>
      </c>
      <c r="D245" s="310"/>
      <c r="E245" s="171" t="str">
        <f>IFERROR(VLOOKUP(E244,Списки!$E:$F,2,0)," ")</f>
        <v xml:space="preserve"> </v>
      </c>
      <c r="F245" s="312"/>
      <c r="G245" s="314"/>
      <c r="H245" s="315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2"/>
    </row>
    <row r="246" spans="1:20" ht="13.5" customHeight="1" x14ac:dyDescent="0.25">
      <c r="A246" s="307">
        <v>3</v>
      </c>
      <c r="B246" s="307"/>
      <c r="C246" s="170"/>
      <c r="D246" s="309"/>
      <c r="E246" s="170"/>
      <c r="F246" s="311"/>
      <c r="G246" s="313"/>
      <c r="H246" s="315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2"/>
    </row>
    <row r="247" spans="1:20" ht="13.5" customHeight="1" x14ac:dyDescent="0.25">
      <c r="A247" s="308"/>
      <c r="B247" s="308"/>
      <c r="C247" s="171" t="str">
        <f>IFERROR(VLOOKUP(C246,Списки!$E:$F,2,0)," ")</f>
        <v xml:space="preserve"> </v>
      </c>
      <c r="D247" s="310"/>
      <c r="E247" s="171" t="str">
        <f>IFERROR(VLOOKUP(E246,Списки!$E:$F,2,0)," ")</f>
        <v xml:space="preserve"> </v>
      </c>
      <c r="F247" s="312"/>
      <c r="G247" s="314"/>
      <c r="H247" s="315"/>
      <c r="I247" s="8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2"/>
    </row>
    <row r="248" spans="1:20" ht="13.5" customHeight="1" x14ac:dyDescent="0.25">
      <c r="A248" s="307">
        <v>4</v>
      </c>
      <c r="B248" s="307"/>
      <c r="C248" s="170"/>
      <c r="D248" s="309"/>
      <c r="E248" s="170"/>
      <c r="F248" s="311"/>
      <c r="G248" s="313"/>
      <c r="H248" s="315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2"/>
    </row>
    <row r="249" spans="1:20" ht="13.5" customHeight="1" x14ac:dyDescent="0.25">
      <c r="A249" s="308"/>
      <c r="B249" s="308"/>
      <c r="C249" s="171" t="str">
        <f>IFERROR(VLOOKUP(C248,Списки!$E:$F,2,0)," ")</f>
        <v xml:space="preserve"> </v>
      </c>
      <c r="D249" s="310"/>
      <c r="E249" s="171" t="str">
        <f>IFERROR(VLOOKUP(E248,Списки!$E:$F,2,0)," ")</f>
        <v xml:space="preserve"> </v>
      </c>
      <c r="F249" s="312"/>
      <c r="G249" s="314"/>
      <c r="H249" s="315"/>
      <c r="I249" s="8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2"/>
    </row>
    <row r="250" spans="1:20" ht="13.5" customHeight="1" x14ac:dyDescent="0.25">
      <c r="A250" s="307">
        <v>5</v>
      </c>
      <c r="B250" s="307"/>
      <c r="C250" s="170"/>
      <c r="D250" s="309"/>
      <c r="E250" s="172"/>
      <c r="F250" s="311"/>
      <c r="G250" s="313"/>
      <c r="H250" s="315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2"/>
    </row>
    <row r="251" spans="1:20" ht="13.5" customHeight="1" x14ac:dyDescent="0.25">
      <c r="A251" s="308"/>
      <c r="B251" s="308"/>
      <c r="C251" s="171" t="str">
        <f>IFERROR(VLOOKUP(C250,Списки!$E:$F,2,0)," ")</f>
        <v xml:space="preserve"> </v>
      </c>
      <c r="D251" s="310"/>
      <c r="E251" s="172" t="str">
        <f>IFERROR(VLOOKUP(E250,Списки!$E:$F,2,0)," ")</f>
        <v xml:space="preserve"> </v>
      </c>
      <c r="F251" s="312"/>
      <c r="G251" s="314"/>
      <c r="H251" s="315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2"/>
    </row>
    <row r="252" spans="1:20" ht="13.5" customHeight="1" x14ac:dyDescent="0.25">
      <c r="A252" s="307">
        <v>6</v>
      </c>
      <c r="B252" s="307"/>
      <c r="C252" s="170"/>
      <c r="D252" s="309"/>
      <c r="E252" s="170"/>
      <c r="F252" s="311"/>
      <c r="G252" s="313"/>
      <c r="H252" s="315"/>
      <c r="I252" s="8"/>
      <c r="J252" s="8"/>
      <c r="K252" s="8"/>
      <c r="L252" s="8"/>
      <c r="M252" s="8"/>
      <c r="N252" s="8"/>
      <c r="O252" s="8"/>
      <c r="P252" s="8"/>
      <c r="Q252" s="8"/>
      <c r="R252" s="8"/>
      <c r="S252" s="8"/>
      <c r="T252" s="82"/>
    </row>
    <row r="253" spans="1:20" ht="13.5" customHeight="1" x14ac:dyDescent="0.25">
      <c r="A253" s="308"/>
      <c r="B253" s="308"/>
      <c r="C253" s="171" t="str">
        <f>IFERROR(VLOOKUP(C252,Списки!$E:$F,2,0)," ")</f>
        <v xml:space="preserve"> </v>
      </c>
      <c r="D253" s="310"/>
      <c r="E253" s="179" t="str">
        <f>IFERROR(VLOOKUP(E252,Списки!$E:$F,2,0)," ")</f>
        <v xml:space="preserve"> </v>
      </c>
      <c r="F253" s="312"/>
      <c r="G253" s="314"/>
      <c r="H253" s="315"/>
      <c r="I253" s="8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2"/>
    </row>
    <row r="254" spans="1:20" ht="13.5" customHeight="1" x14ac:dyDescent="0.25">
      <c r="A254" s="307">
        <v>7</v>
      </c>
      <c r="B254" s="307"/>
      <c r="C254" s="170"/>
      <c r="D254" s="309"/>
      <c r="E254" s="170"/>
      <c r="F254" s="311"/>
      <c r="G254" s="313"/>
      <c r="H254" s="315"/>
      <c r="I254" s="8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2"/>
    </row>
    <row r="255" spans="1:20" ht="13.5" customHeight="1" x14ac:dyDescent="0.25">
      <c r="A255" s="308"/>
      <c r="B255" s="308"/>
      <c r="C255" s="179" t="str">
        <f>IFERROR(VLOOKUP(C254,Списки!$E:$F,2,0)," ")</f>
        <v xml:space="preserve"> </v>
      </c>
      <c r="D255" s="310"/>
      <c r="E255" s="171" t="str">
        <f>IFERROR(VLOOKUP(E254,Списки!$E:$F,2,0)," ")</f>
        <v xml:space="preserve"> </v>
      </c>
      <c r="F255" s="312"/>
      <c r="G255" s="314"/>
      <c r="H255" s="315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2"/>
    </row>
    <row r="256" spans="1:20" ht="13.5" customHeight="1" x14ac:dyDescent="0.25">
      <c r="A256" s="307">
        <v>8</v>
      </c>
      <c r="B256" s="307"/>
      <c r="C256" s="170"/>
      <c r="D256" s="309"/>
      <c r="E256" s="170"/>
      <c r="F256" s="311"/>
      <c r="G256" s="313"/>
      <c r="H256" s="315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2"/>
    </row>
    <row r="257" spans="1:20" ht="13.5" customHeight="1" x14ac:dyDescent="0.25">
      <c r="A257" s="308"/>
      <c r="B257" s="308"/>
      <c r="C257" s="179" t="str">
        <f>IFERROR(VLOOKUP(C256,Списки!$E:$F,2,0)," ")</f>
        <v xml:space="preserve"> </v>
      </c>
      <c r="D257" s="310"/>
      <c r="E257" s="171" t="str">
        <f>IFERROR(VLOOKUP(E256,Списки!$E:$F,2,0)," ")</f>
        <v xml:space="preserve"> </v>
      </c>
      <c r="F257" s="312"/>
      <c r="G257" s="314"/>
      <c r="H257" s="315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2"/>
    </row>
    <row r="258" spans="1:20" ht="13.5" customHeight="1" x14ac:dyDescent="0.25">
      <c r="A258" s="307">
        <v>9</v>
      </c>
      <c r="B258" s="307"/>
      <c r="C258" s="170"/>
      <c r="D258" s="309"/>
      <c r="E258" s="170"/>
      <c r="F258" s="311"/>
      <c r="G258" s="313"/>
      <c r="H258" s="315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2"/>
    </row>
    <row r="259" spans="1:20" ht="13.5" customHeight="1" x14ac:dyDescent="0.25">
      <c r="A259" s="308"/>
      <c r="B259" s="308"/>
      <c r="C259" s="171" t="str">
        <f>IFERROR(VLOOKUP(C258,Списки!$E:$F,2,0)," ")</f>
        <v xml:space="preserve"> </v>
      </c>
      <c r="D259" s="310"/>
      <c r="E259" s="171" t="str">
        <f>IFERROR(VLOOKUP(E258,Списки!$E:$F,2,0)," ")</f>
        <v xml:space="preserve"> </v>
      </c>
      <c r="F259" s="312"/>
      <c r="G259" s="314"/>
      <c r="H259" s="315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2"/>
    </row>
    <row r="260" spans="1:20" ht="13.5" customHeight="1" x14ac:dyDescent="0.25">
      <c r="A260" s="307">
        <v>10</v>
      </c>
      <c r="B260" s="307"/>
      <c r="C260" s="170"/>
      <c r="D260" s="309"/>
      <c r="E260" s="170"/>
      <c r="F260" s="311"/>
      <c r="G260" s="313"/>
      <c r="H260" s="315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2"/>
    </row>
    <row r="261" spans="1:20" ht="13.5" customHeight="1" x14ac:dyDescent="0.25">
      <c r="A261" s="308"/>
      <c r="B261" s="308"/>
      <c r="C261" s="171" t="str">
        <f>IFERROR(VLOOKUP(C260,Списки!$E:$F,2,0)," ")</f>
        <v xml:space="preserve"> </v>
      </c>
      <c r="D261" s="310"/>
      <c r="E261" s="171" t="str">
        <f>IFERROR(VLOOKUP(E260,Списки!$E:$F,2,0)," ")</f>
        <v xml:space="preserve"> </v>
      </c>
      <c r="F261" s="312"/>
      <c r="G261" s="314"/>
      <c r="H261" s="315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2"/>
    </row>
    <row r="262" spans="1:20" ht="13.5" customHeight="1" x14ac:dyDescent="0.25">
      <c r="A262" s="307">
        <v>11</v>
      </c>
      <c r="B262" s="307"/>
      <c r="C262" s="170"/>
      <c r="D262" s="309"/>
      <c r="E262" s="170"/>
      <c r="F262" s="311"/>
      <c r="G262" s="313"/>
      <c r="H262" s="315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2"/>
    </row>
    <row r="263" spans="1:20" ht="13.5" customHeight="1" x14ac:dyDescent="0.25">
      <c r="A263" s="308"/>
      <c r="B263" s="308"/>
      <c r="C263" s="171" t="str">
        <f>IFERROR(VLOOKUP(C262,Списки!$E:$F,2,0)," ")</f>
        <v xml:space="preserve"> </v>
      </c>
      <c r="D263" s="310"/>
      <c r="E263" s="171" t="str">
        <f>IFERROR(VLOOKUP(E262,Списки!$E:$F,2,0)," ")</f>
        <v xml:space="preserve"> </v>
      </c>
      <c r="F263" s="312"/>
      <c r="G263" s="314"/>
      <c r="H263" s="315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2"/>
    </row>
    <row r="264" spans="1:20" ht="13.5" customHeight="1" x14ac:dyDescent="0.25">
      <c r="A264" s="307">
        <v>12</v>
      </c>
      <c r="B264" s="307"/>
      <c r="C264" s="170"/>
      <c r="D264" s="309"/>
      <c r="E264" s="170"/>
      <c r="F264" s="311"/>
      <c r="G264" s="313"/>
      <c r="H264" s="315"/>
      <c r="I264" s="8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2"/>
    </row>
    <row r="265" spans="1:20" ht="13.5" customHeight="1" x14ac:dyDescent="0.25">
      <c r="A265" s="308"/>
      <c r="B265" s="308"/>
      <c r="C265" s="171" t="str">
        <f>IFERROR(VLOOKUP(C264,Списки!$E:$F,2,0)," ")</f>
        <v xml:space="preserve"> </v>
      </c>
      <c r="D265" s="310"/>
      <c r="E265" s="171" t="str">
        <f>IFERROR(VLOOKUP(E264,Списки!$E:$F,2,0)," ")</f>
        <v xml:space="preserve"> </v>
      </c>
      <c r="F265" s="312"/>
      <c r="G265" s="314"/>
      <c r="H265" s="315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2"/>
    </row>
    <row r="266" spans="1:20" ht="13.5" customHeight="1" x14ac:dyDescent="0.25">
      <c r="A266" s="307">
        <v>13</v>
      </c>
      <c r="B266" s="307"/>
      <c r="C266" s="170"/>
      <c r="D266" s="309"/>
      <c r="E266" s="170"/>
      <c r="F266" s="311"/>
      <c r="G266" s="313"/>
      <c r="H266" s="315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2"/>
    </row>
    <row r="267" spans="1:20" ht="13.5" customHeight="1" x14ac:dyDescent="0.25">
      <c r="A267" s="308"/>
      <c r="B267" s="308"/>
      <c r="C267" s="171" t="str">
        <f>IFERROR(VLOOKUP(C266,Списки!$E:$F,2,0)," ")</f>
        <v xml:space="preserve"> </v>
      </c>
      <c r="D267" s="310"/>
      <c r="E267" s="171" t="str">
        <f>IFERROR(VLOOKUP(E266,Списки!$E:$F,2,0)," ")</f>
        <v xml:space="preserve"> </v>
      </c>
      <c r="F267" s="312"/>
      <c r="G267" s="314"/>
      <c r="H267" s="315"/>
      <c r="I267" s="8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2"/>
    </row>
    <row r="268" spans="1:20" ht="13.5" customHeight="1" x14ac:dyDescent="0.25">
      <c r="A268" s="307">
        <v>14</v>
      </c>
      <c r="B268" s="307"/>
      <c r="C268" s="170"/>
      <c r="D268" s="309"/>
      <c r="E268" s="170"/>
      <c r="F268" s="311"/>
      <c r="G268" s="313"/>
      <c r="H268" s="315"/>
      <c r="I268" s="8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2"/>
    </row>
    <row r="269" spans="1:20" ht="13.5" customHeight="1" x14ac:dyDescent="0.25">
      <c r="A269" s="308"/>
      <c r="B269" s="308"/>
      <c r="C269" s="171" t="str">
        <f>IFERROR(VLOOKUP(C268,Списки!$E:$F,2,0)," ")</f>
        <v xml:space="preserve"> </v>
      </c>
      <c r="D269" s="310"/>
      <c r="E269" s="171" t="str">
        <f>IFERROR(VLOOKUP(E268,Списки!$E:$F,2,0)," ")</f>
        <v xml:space="preserve"> </v>
      </c>
      <c r="F269" s="312"/>
      <c r="G269" s="314"/>
      <c r="H269" s="315"/>
      <c r="I269" s="8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2"/>
    </row>
    <row r="270" spans="1:20" ht="13.5" customHeight="1" x14ac:dyDescent="0.25">
      <c r="A270" s="307">
        <v>15</v>
      </c>
      <c r="B270" s="307"/>
      <c r="C270" s="170"/>
      <c r="D270" s="309"/>
      <c r="E270" s="170"/>
      <c r="F270" s="311"/>
      <c r="G270" s="313"/>
      <c r="H270" s="315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2"/>
    </row>
    <row r="271" spans="1:20" ht="13.5" customHeight="1" x14ac:dyDescent="0.25">
      <c r="A271" s="308"/>
      <c r="B271" s="308"/>
      <c r="C271" s="171" t="str">
        <f>IFERROR(VLOOKUP(C270,Списки!$E:$F,2,0)," ")</f>
        <v xml:space="preserve"> </v>
      </c>
      <c r="D271" s="310"/>
      <c r="E271" s="171" t="str">
        <f>IFERROR(VLOOKUP(E270,Списки!$E:$F,2,0)," ")</f>
        <v xml:space="preserve"> </v>
      </c>
      <c r="F271" s="312"/>
      <c r="G271" s="314"/>
      <c r="H271" s="315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2"/>
    </row>
    <row r="272" spans="1:20" x14ac:dyDescent="0.25">
      <c r="A272" s="36"/>
      <c r="B272" s="37"/>
      <c r="C272" s="173"/>
      <c r="D272" s="173"/>
      <c r="E272" s="174" t="s">
        <v>30</v>
      </c>
      <c r="F272" s="39">
        <f>IFERROR(SUM(IFERROR(IF((LOOKUP(9E+307,F242:F271))&gt;$M$39,(LOOKUP(9E+307,F242:F271))-$M$39,IF((LOOKUP(9E+307,F242:F271))&lt;0.166666667,0+(LOOKUP(9E+307,F242:F271))+1-$M$39,0)),0),(IF(AND(IF(D242,$M$38-D242,0)&gt;0,F242,F242&gt;D242),$M$38-D242,IF(AND(D242,F242,D242&gt;F242),"error",0)))),"ОШИБКА")</f>
        <v>0</v>
      </c>
      <c r="G272" s="40" t="s">
        <v>27</v>
      </c>
      <c r="H272" s="38">
        <f>SUM(H242:H271)</f>
        <v>0</v>
      </c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2"/>
    </row>
    <row r="273" spans="1:20" ht="15.75" x14ac:dyDescent="0.25">
      <c r="A273" s="316">
        <f>DATE(K1,J1,9)</f>
        <v>43839</v>
      </c>
      <c r="B273" s="316"/>
      <c r="C273" s="316"/>
      <c r="D273" s="316"/>
      <c r="E273" s="316"/>
      <c r="F273" s="316"/>
      <c r="G273" s="316"/>
      <c r="H273" s="317"/>
      <c r="I273" s="8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2"/>
    </row>
    <row r="274" spans="1:20" ht="13.5" customHeight="1" x14ac:dyDescent="0.25">
      <c r="A274" s="318"/>
      <c r="B274" s="320" t="s">
        <v>34</v>
      </c>
      <c r="C274" s="175" t="s">
        <v>39</v>
      </c>
      <c r="D274" s="322" t="s">
        <v>36</v>
      </c>
      <c r="E274" s="175" t="s">
        <v>37</v>
      </c>
      <c r="F274" s="320" t="s">
        <v>36</v>
      </c>
      <c r="G274" s="324" t="s">
        <v>35</v>
      </c>
      <c r="H274" s="315" t="s">
        <v>40</v>
      </c>
      <c r="I274" s="8"/>
      <c r="J274" s="8"/>
      <c r="K274" s="8"/>
      <c r="L274" s="8"/>
      <c r="M274" s="8"/>
      <c r="N274" s="8"/>
      <c r="O274" s="8"/>
      <c r="P274" s="8"/>
      <c r="Q274" s="8"/>
      <c r="R274" s="8"/>
      <c r="S274" s="8"/>
      <c r="T274" s="82"/>
    </row>
    <row r="275" spans="1:20" ht="13.5" customHeight="1" x14ac:dyDescent="0.25">
      <c r="A275" s="319"/>
      <c r="B275" s="321"/>
      <c r="C275" s="169" t="s">
        <v>38</v>
      </c>
      <c r="D275" s="323"/>
      <c r="E275" s="169" t="s">
        <v>38</v>
      </c>
      <c r="F275" s="321"/>
      <c r="G275" s="325"/>
      <c r="H275" s="315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2"/>
    </row>
    <row r="276" spans="1:20" ht="13.5" customHeight="1" x14ac:dyDescent="0.25">
      <c r="A276" s="307">
        <v>1</v>
      </c>
      <c r="B276" s="307"/>
      <c r="C276" s="170" t="s">
        <v>43</v>
      </c>
      <c r="D276" s="309"/>
      <c r="E276" s="170" t="s">
        <v>44</v>
      </c>
      <c r="F276" s="311"/>
      <c r="G276" s="313"/>
      <c r="H276" s="315"/>
      <c r="I276" s="8"/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2"/>
    </row>
    <row r="277" spans="1:20" ht="13.5" customHeight="1" x14ac:dyDescent="0.25">
      <c r="A277" s="308"/>
      <c r="B277" s="308"/>
      <c r="C277" s="171" t="str">
        <f>IFERROR(VLOOKUP(C276,Списки!$E:$F,2,0)," ")</f>
        <v>SAVUSHKINA ST 128</v>
      </c>
      <c r="D277" s="310"/>
      <c r="E277" s="171" t="str">
        <f>IFERROR(VLOOKUP(E276,Списки!$E:$F,2,0)," ")</f>
        <v>LEVASHOVSKOE HWY 20</v>
      </c>
      <c r="F277" s="312"/>
      <c r="G277" s="314"/>
      <c r="H277" s="315"/>
      <c r="I277" s="8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2"/>
    </row>
    <row r="278" spans="1:20" ht="13.5" customHeight="1" x14ac:dyDescent="0.25">
      <c r="A278" s="307">
        <v>2</v>
      </c>
      <c r="B278" s="307"/>
      <c r="C278" s="170" t="s">
        <v>44</v>
      </c>
      <c r="D278" s="309"/>
      <c r="E278" s="170"/>
      <c r="F278" s="311"/>
      <c r="G278" s="313"/>
      <c r="H278" s="315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2"/>
    </row>
    <row r="279" spans="1:20" ht="13.5" customHeight="1" x14ac:dyDescent="0.25">
      <c r="A279" s="308"/>
      <c r="B279" s="308"/>
      <c r="C279" s="171" t="str">
        <f>IFERROR(VLOOKUP(C278,Списки!$E:$F,2,0)," ")</f>
        <v>LEVASHOVSKOE HWY 20</v>
      </c>
      <c r="D279" s="310"/>
      <c r="E279" s="171" t="str">
        <f>IFERROR(VLOOKUP(E278,Списки!$E:$F,2,0)," ")</f>
        <v xml:space="preserve"> </v>
      </c>
      <c r="F279" s="312"/>
      <c r="G279" s="314"/>
      <c r="H279" s="315"/>
      <c r="I279" s="8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2"/>
    </row>
    <row r="280" spans="1:20" ht="13.5" customHeight="1" x14ac:dyDescent="0.25">
      <c r="A280" s="307">
        <v>3</v>
      </c>
      <c r="B280" s="307"/>
      <c r="C280" s="170"/>
      <c r="D280" s="309"/>
      <c r="E280" s="170"/>
      <c r="F280" s="311"/>
      <c r="G280" s="313"/>
      <c r="H280" s="315"/>
      <c r="I280" s="8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2"/>
    </row>
    <row r="281" spans="1:20" ht="13.5" customHeight="1" x14ac:dyDescent="0.25">
      <c r="A281" s="308"/>
      <c r="B281" s="308"/>
      <c r="C281" s="171" t="str">
        <f>IFERROR(VLOOKUP(C280,Списки!$E:$F,2,0)," ")</f>
        <v xml:space="preserve"> </v>
      </c>
      <c r="D281" s="310"/>
      <c r="E281" s="171" t="str">
        <f>IFERROR(VLOOKUP(E280,Списки!$E:$F,2,0)," ")</f>
        <v xml:space="preserve"> </v>
      </c>
      <c r="F281" s="312"/>
      <c r="G281" s="314"/>
      <c r="H281" s="315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2"/>
    </row>
    <row r="282" spans="1:20" ht="13.5" customHeight="1" x14ac:dyDescent="0.25">
      <c r="A282" s="307">
        <v>4</v>
      </c>
      <c r="B282" s="307"/>
      <c r="C282" s="170"/>
      <c r="D282" s="309"/>
      <c r="E282" s="170"/>
      <c r="F282" s="311"/>
      <c r="G282" s="313"/>
      <c r="H282" s="315"/>
      <c r="I282" s="8"/>
      <c r="J282" s="8"/>
      <c r="K282" s="8"/>
      <c r="L282" s="8"/>
      <c r="M282" s="8"/>
      <c r="N282" s="8"/>
      <c r="O282" s="8"/>
      <c r="P282" s="8"/>
      <c r="Q282" s="8"/>
      <c r="R282" s="8"/>
      <c r="S282" s="8"/>
      <c r="T282" s="82"/>
    </row>
    <row r="283" spans="1:20" ht="13.5" customHeight="1" x14ac:dyDescent="0.25">
      <c r="A283" s="308"/>
      <c r="B283" s="308"/>
      <c r="C283" s="171" t="str">
        <f>IFERROR(VLOOKUP(C282,Списки!$E:$F,2,0)," ")</f>
        <v xml:space="preserve"> </v>
      </c>
      <c r="D283" s="310"/>
      <c r="E283" s="171" t="str">
        <f>IFERROR(VLOOKUP(E282,Списки!$E:$F,2,0)," ")</f>
        <v xml:space="preserve"> </v>
      </c>
      <c r="F283" s="312"/>
      <c r="G283" s="314"/>
      <c r="H283" s="315"/>
      <c r="I283" s="8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2"/>
    </row>
    <row r="284" spans="1:20" ht="13.5" customHeight="1" x14ac:dyDescent="0.25">
      <c r="A284" s="307">
        <v>5</v>
      </c>
      <c r="B284" s="307"/>
      <c r="C284" s="170"/>
      <c r="D284" s="309"/>
      <c r="E284" s="172"/>
      <c r="F284" s="311"/>
      <c r="G284" s="313"/>
      <c r="H284" s="315"/>
      <c r="I284" s="8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2"/>
    </row>
    <row r="285" spans="1:20" ht="13.5" customHeight="1" x14ac:dyDescent="0.25">
      <c r="A285" s="308"/>
      <c r="B285" s="308"/>
      <c r="C285" s="171" t="str">
        <f>IFERROR(VLOOKUP(C284,Списки!$E:$F,2,0)," ")</f>
        <v xml:space="preserve"> </v>
      </c>
      <c r="D285" s="310"/>
      <c r="E285" s="172" t="str">
        <f>IFERROR(VLOOKUP(E284,Списки!$E:$F,2,0)," ")</f>
        <v xml:space="preserve"> </v>
      </c>
      <c r="F285" s="312"/>
      <c r="G285" s="314"/>
      <c r="H285" s="315"/>
      <c r="I285" s="8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2"/>
    </row>
    <row r="286" spans="1:20" ht="13.5" customHeight="1" x14ac:dyDescent="0.25">
      <c r="A286" s="307">
        <v>6</v>
      </c>
      <c r="B286" s="307"/>
      <c r="C286" s="170"/>
      <c r="D286" s="309"/>
      <c r="E286" s="170"/>
      <c r="F286" s="311"/>
      <c r="G286" s="313"/>
      <c r="H286" s="315"/>
      <c r="I286" s="8"/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2"/>
    </row>
    <row r="287" spans="1:20" ht="13.5" customHeight="1" x14ac:dyDescent="0.25">
      <c r="A287" s="308"/>
      <c r="B287" s="308"/>
      <c r="C287" s="171" t="str">
        <f>IFERROR(VLOOKUP(C286,Списки!$E:$F,2,0)," ")</f>
        <v xml:space="preserve"> </v>
      </c>
      <c r="D287" s="310"/>
      <c r="E287" s="179" t="str">
        <f>IFERROR(VLOOKUP(E286,Списки!$E:$F,2,0)," ")</f>
        <v xml:space="preserve"> </v>
      </c>
      <c r="F287" s="312"/>
      <c r="G287" s="314"/>
      <c r="H287" s="315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2"/>
    </row>
    <row r="288" spans="1:20" ht="13.5" customHeight="1" x14ac:dyDescent="0.25">
      <c r="A288" s="307">
        <v>7</v>
      </c>
      <c r="B288" s="307"/>
      <c r="C288" s="170"/>
      <c r="D288" s="309"/>
      <c r="E288" s="170"/>
      <c r="F288" s="311"/>
      <c r="G288" s="313"/>
      <c r="H288" s="315"/>
      <c r="I288" s="8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2"/>
    </row>
    <row r="289" spans="1:20" ht="13.5" customHeight="1" x14ac:dyDescent="0.25">
      <c r="A289" s="308"/>
      <c r="B289" s="308"/>
      <c r="C289" s="179" t="str">
        <f>IFERROR(VLOOKUP(C288,Списки!$E:$F,2,0)," ")</f>
        <v xml:space="preserve"> </v>
      </c>
      <c r="D289" s="310"/>
      <c r="E289" s="171" t="str">
        <f>IFERROR(VLOOKUP(E288,Списки!$E:$F,2,0)," ")</f>
        <v xml:space="preserve"> </v>
      </c>
      <c r="F289" s="312"/>
      <c r="G289" s="314"/>
      <c r="H289" s="315"/>
      <c r="I289" s="8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2"/>
    </row>
    <row r="290" spans="1:20" ht="13.5" customHeight="1" x14ac:dyDescent="0.25">
      <c r="A290" s="307">
        <v>8</v>
      </c>
      <c r="B290" s="307"/>
      <c r="C290" s="170"/>
      <c r="D290" s="309"/>
      <c r="E290" s="170"/>
      <c r="F290" s="311"/>
      <c r="G290" s="313"/>
      <c r="H290" s="315"/>
      <c r="I290" s="8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2"/>
    </row>
    <row r="291" spans="1:20" ht="13.5" customHeight="1" x14ac:dyDescent="0.25">
      <c r="A291" s="308"/>
      <c r="B291" s="308"/>
      <c r="C291" s="179" t="str">
        <f>IFERROR(VLOOKUP(C290,Списки!$E:$F,2,0)," ")</f>
        <v xml:space="preserve"> </v>
      </c>
      <c r="D291" s="310"/>
      <c r="E291" s="171" t="str">
        <f>IFERROR(VLOOKUP(E290,Списки!$E:$F,2,0)," ")</f>
        <v xml:space="preserve"> </v>
      </c>
      <c r="F291" s="312"/>
      <c r="G291" s="314"/>
      <c r="H291" s="315"/>
      <c r="I291" s="8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2"/>
    </row>
    <row r="292" spans="1:20" ht="13.5" customHeight="1" x14ac:dyDescent="0.25">
      <c r="A292" s="307">
        <v>9</v>
      </c>
      <c r="B292" s="307"/>
      <c r="C292" s="170"/>
      <c r="D292" s="309"/>
      <c r="E292" s="170"/>
      <c r="F292" s="311"/>
      <c r="G292" s="313"/>
      <c r="H292" s="315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2"/>
    </row>
    <row r="293" spans="1:20" ht="13.5" customHeight="1" x14ac:dyDescent="0.25">
      <c r="A293" s="308"/>
      <c r="B293" s="308"/>
      <c r="C293" s="171" t="str">
        <f>IFERROR(VLOOKUP(C292,Списки!$E:$F,2,0)," ")</f>
        <v xml:space="preserve"> </v>
      </c>
      <c r="D293" s="310"/>
      <c r="E293" s="171" t="str">
        <f>IFERROR(VLOOKUP(E292,Списки!$E:$F,2,0)," ")</f>
        <v xml:space="preserve"> </v>
      </c>
      <c r="F293" s="312"/>
      <c r="G293" s="314"/>
      <c r="H293" s="315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2"/>
    </row>
    <row r="294" spans="1:20" ht="13.5" customHeight="1" x14ac:dyDescent="0.25">
      <c r="A294" s="307">
        <v>10</v>
      </c>
      <c r="B294" s="307"/>
      <c r="C294" s="170"/>
      <c r="D294" s="309"/>
      <c r="E294" s="170"/>
      <c r="F294" s="311"/>
      <c r="G294" s="313"/>
      <c r="H294" s="315"/>
      <c r="I294" s="8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2"/>
    </row>
    <row r="295" spans="1:20" ht="13.5" customHeight="1" x14ac:dyDescent="0.25">
      <c r="A295" s="308"/>
      <c r="B295" s="308"/>
      <c r="C295" s="171" t="str">
        <f>IFERROR(VLOOKUP(C294,Списки!$E:$F,2,0)," ")</f>
        <v xml:space="preserve"> </v>
      </c>
      <c r="D295" s="310"/>
      <c r="E295" s="171" t="str">
        <f>IFERROR(VLOOKUP(E294,Списки!$E:$F,2,0)," ")</f>
        <v xml:space="preserve"> </v>
      </c>
      <c r="F295" s="312"/>
      <c r="G295" s="314"/>
      <c r="H295" s="315"/>
      <c r="I295" s="8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2"/>
    </row>
    <row r="296" spans="1:20" ht="13.5" customHeight="1" x14ac:dyDescent="0.25">
      <c r="A296" s="307">
        <v>11</v>
      </c>
      <c r="B296" s="307"/>
      <c r="C296" s="170"/>
      <c r="D296" s="309"/>
      <c r="E296" s="170"/>
      <c r="F296" s="311"/>
      <c r="G296" s="313"/>
      <c r="H296" s="315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2"/>
    </row>
    <row r="297" spans="1:20" ht="13.5" customHeight="1" x14ac:dyDescent="0.25">
      <c r="A297" s="308"/>
      <c r="B297" s="308"/>
      <c r="C297" s="171" t="str">
        <f>IFERROR(VLOOKUP(C296,Списки!$E:$F,2,0)," ")</f>
        <v xml:space="preserve"> </v>
      </c>
      <c r="D297" s="310"/>
      <c r="E297" s="171" t="str">
        <f>IFERROR(VLOOKUP(E296,Списки!$E:$F,2,0)," ")</f>
        <v xml:space="preserve"> </v>
      </c>
      <c r="F297" s="312"/>
      <c r="G297" s="314"/>
      <c r="H297" s="315"/>
      <c r="I297" s="8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2"/>
    </row>
    <row r="298" spans="1:20" ht="13.5" customHeight="1" x14ac:dyDescent="0.25">
      <c r="A298" s="307">
        <v>12</v>
      </c>
      <c r="B298" s="307"/>
      <c r="C298" s="170"/>
      <c r="D298" s="309"/>
      <c r="E298" s="170"/>
      <c r="F298" s="311"/>
      <c r="G298" s="313"/>
      <c r="H298" s="315"/>
      <c r="I298" s="8"/>
      <c r="J298" s="8"/>
      <c r="K298" s="8"/>
      <c r="L298" s="8"/>
      <c r="M298" s="8"/>
      <c r="N298" s="8"/>
      <c r="O298" s="8"/>
      <c r="P298" s="8"/>
      <c r="Q298" s="8"/>
      <c r="R298" s="8"/>
      <c r="S298" s="8"/>
      <c r="T298" s="82"/>
    </row>
    <row r="299" spans="1:20" ht="13.5" customHeight="1" x14ac:dyDescent="0.25">
      <c r="A299" s="308"/>
      <c r="B299" s="308"/>
      <c r="C299" s="171" t="str">
        <f>IFERROR(VLOOKUP(C298,Списки!$E:$F,2,0)," ")</f>
        <v xml:space="preserve"> </v>
      </c>
      <c r="D299" s="310"/>
      <c r="E299" s="171" t="str">
        <f>IFERROR(VLOOKUP(E298,Списки!$E:$F,2,0)," ")</f>
        <v xml:space="preserve"> </v>
      </c>
      <c r="F299" s="312"/>
      <c r="G299" s="314"/>
      <c r="H299" s="315"/>
      <c r="I299" s="8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2"/>
    </row>
    <row r="300" spans="1:20" ht="13.5" customHeight="1" x14ac:dyDescent="0.25">
      <c r="A300" s="307">
        <v>13</v>
      </c>
      <c r="B300" s="307"/>
      <c r="C300" s="170"/>
      <c r="D300" s="309"/>
      <c r="E300" s="170"/>
      <c r="F300" s="311"/>
      <c r="G300" s="313"/>
      <c r="H300" s="315"/>
      <c r="I300" s="8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2"/>
    </row>
    <row r="301" spans="1:20" ht="13.5" customHeight="1" x14ac:dyDescent="0.25">
      <c r="A301" s="308"/>
      <c r="B301" s="308"/>
      <c r="C301" s="171" t="str">
        <f>IFERROR(VLOOKUP(C300,Списки!$E:$F,2,0)," ")</f>
        <v xml:space="preserve"> </v>
      </c>
      <c r="D301" s="310"/>
      <c r="E301" s="171" t="str">
        <f>IFERROR(VLOOKUP(E300,Списки!$E:$F,2,0)," ")</f>
        <v xml:space="preserve"> </v>
      </c>
      <c r="F301" s="312"/>
      <c r="G301" s="314"/>
      <c r="H301" s="315"/>
      <c r="I301" s="8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2"/>
    </row>
    <row r="302" spans="1:20" ht="13.5" customHeight="1" x14ac:dyDescent="0.25">
      <c r="A302" s="307">
        <v>14</v>
      </c>
      <c r="B302" s="307"/>
      <c r="C302" s="170"/>
      <c r="D302" s="309"/>
      <c r="E302" s="170"/>
      <c r="F302" s="311"/>
      <c r="G302" s="313"/>
      <c r="H302" s="315"/>
      <c r="I302" s="8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2"/>
    </row>
    <row r="303" spans="1:20" ht="13.5" customHeight="1" x14ac:dyDescent="0.25">
      <c r="A303" s="308"/>
      <c r="B303" s="308"/>
      <c r="C303" s="171" t="str">
        <f>IFERROR(VLOOKUP(C302,Списки!$E:$F,2,0)," ")</f>
        <v xml:space="preserve"> </v>
      </c>
      <c r="D303" s="310"/>
      <c r="E303" s="171" t="str">
        <f>IFERROR(VLOOKUP(E302,Списки!$E:$F,2,0)," ")</f>
        <v xml:space="preserve"> </v>
      </c>
      <c r="F303" s="312"/>
      <c r="G303" s="314"/>
      <c r="H303" s="315"/>
      <c r="I303" s="8"/>
      <c r="J303" s="8"/>
      <c r="K303" s="8"/>
      <c r="L303" s="8"/>
      <c r="M303" s="8"/>
      <c r="N303" s="8"/>
      <c r="O303" s="8"/>
      <c r="P303" s="8"/>
      <c r="Q303" s="8"/>
      <c r="R303" s="8"/>
      <c r="S303" s="8"/>
      <c r="T303" s="82"/>
    </row>
    <row r="304" spans="1:20" ht="13.5" customHeight="1" x14ac:dyDescent="0.25">
      <c r="A304" s="307">
        <v>15</v>
      </c>
      <c r="B304" s="307"/>
      <c r="C304" s="170"/>
      <c r="D304" s="309"/>
      <c r="E304" s="170"/>
      <c r="F304" s="311"/>
      <c r="G304" s="313"/>
      <c r="H304" s="315"/>
      <c r="I304" s="8"/>
      <c r="J304" s="8"/>
      <c r="K304" s="8"/>
      <c r="L304" s="8"/>
      <c r="M304" s="8"/>
      <c r="N304" s="8"/>
      <c r="O304" s="8"/>
      <c r="P304" s="8"/>
      <c r="Q304" s="8"/>
      <c r="R304" s="8"/>
      <c r="S304" s="8"/>
      <c r="T304" s="82"/>
    </row>
    <row r="305" spans="1:20" ht="13.5" customHeight="1" x14ac:dyDescent="0.25">
      <c r="A305" s="308"/>
      <c r="B305" s="308"/>
      <c r="C305" s="171" t="str">
        <f>IFERROR(VLOOKUP(C304,Списки!$E:$F,2,0)," ")</f>
        <v xml:space="preserve"> </v>
      </c>
      <c r="D305" s="310"/>
      <c r="E305" s="171" t="str">
        <f>IFERROR(VLOOKUP(E304,Списки!$E:$F,2,0)," ")</f>
        <v xml:space="preserve"> </v>
      </c>
      <c r="F305" s="312"/>
      <c r="G305" s="314"/>
      <c r="H305" s="315"/>
      <c r="I305" s="8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2"/>
    </row>
    <row r="306" spans="1:20" x14ac:dyDescent="0.25">
      <c r="A306" s="36"/>
      <c r="B306" s="37"/>
      <c r="C306" s="173"/>
      <c r="D306" s="173"/>
      <c r="E306" s="174" t="s">
        <v>30</v>
      </c>
      <c r="F306" s="39">
        <f>IFERROR(SUM(IFERROR(IF((LOOKUP(9E+307,F276:F305))&gt;$M$39,(LOOKUP(9E+307,F276:F305))-$M$39,IF((LOOKUP(9E+307,F276:F305))&lt;0.166666667,0+(LOOKUP(9E+307,F276:F305))+1-$M$39,0)),0),(IF(AND(IF(D276,$M$38-D276,0)&gt;0,F276,F276&gt;D276),$M$38-D276,IF(AND(D276,F276,D276&gt;F276),"error",0)))),"ОШИБКА")</f>
        <v>0</v>
      </c>
      <c r="G306" s="40" t="s">
        <v>27</v>
      </c>
      <c r="H306" s="38">
        <f>SUM(H276:H305)</f>
        <v>0</v>
      </c>
      <c r="I306" s="8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2"/>
    </row>
    <row r="307" spans="1:20" ht="15.75" x14ac:dyDescent="0.25">
      <c r="A307" s="316">
        <f>DATE(K1,J1,10)</f>
        <v>43840</v>
      </c>
      <c r="B307" s="316"/>
      <c r="C307" s="316"/>
      <c r="D307" s="316"/>
      <c r="E307" s="316"/>
      <c r="F307" s="316"/>
      <c r="G307" s="316"/>
      <c r="H307" s="316"/>
      <c r="I307" s="8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2"/>
    </row>
    <row r="308" spans="1:20" ht="13.5" customHeight="1" x14ac:dyDescent="0.25">
      <c r="A308" s="318"/>
      <c r="B308" s="320" t="s">
        <v>34</v>
      </c>
      <c r="C308" s="175" t="s">
        <v>39</v>
      </c>
      <c r="D308" s="322" t="s">
        <v>36</v>
      </c>
      <c r="E308" s="175" t="s">
        <v>37</v>
      </c>
      <c r="F308" s="320" t="s">
        <v>36</v>
      </c>
      <c r="G308" s="324" t="s">
        <v>35</v>
      </c>
      <c r="H308" s="315" t="s">
        <v>40</v>
      </c>
      <c r="I308" s="8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2"/>
    </row>
    <row r="309" spans="1:20" ht="13.5" customHeight="1" x14ac:dyDescent="0.25">
      <c r="A309" s="319"/>
      <c r="B309" s="321"/>
      <c r="C309" s="169" t="s">
        <v>38</v>
      </c>
      <c r="D309" s="323"/>
      <c r="E309" s="169" t="s">
        <v>38</v>
      </c>
      <c r="F309" s="321"/>
      <c r="G309" s="325"/>
      <c r="H309" s="315"/>
      <c r="I309" s="8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2"/>
    </row>
    <row r="310" spans="1:20" ht="13.5" customHeight="1" x14ac:dyDescent="0.25">
      <c r="A310" s="307">
        <v>1</v>
      </c>
      <c r="B310" s="307"/>
      <c r="C310" s="170" t="s">
        <v>43</v>
      </c>
      <c r="D310" s="309"/>
      <c r="E310" s="170" t="s">
        <v>44</v>
      </c>
      <c r="F310" s="311"/>
      <c r="G310" s="313"/>
      <c r="H310" s="315"/>
      <c r="I310" s="8"/>
      <c r="J310" s="8"/>
      <c r="K310" s="8"/>
      <c r="L310" s="8"/>
      <c r="M310" s="8"/>
      <c r="N310" s="8"/>
      <c r="O310" s="8"/>
      <c r="P310" s="8"/>
      <c r="Q310" s="8"/>
      <c r="R310" s="8"/>
      <c r="S310" s="8"/>
      <c r="T310" s="82"/>
    </row>
    <row r="311" spans="1:20" ht="13.5" customHeight="1" x14ac:dyDescent="0.25">
      <c r="A311" s="308"/>
      <c r="B311" s="308"/>
      <c r="C311" s="171" t="str">
        <f>IFERROR(VLOOKUP(C310,Списки!$E:$F,2,0)," ")</f>
        <v>SAVUSHKINA ST 128</v>
      </c>
      <c r="D311" s="310"/>
      <c r="E311" s="171" t="str">
        <f>IFERROR(VLOOKUP(E310,Списки!$E:$F,2,0)," ")</f>
        <v>LEVASHOVSKOE HWY 20</v>
      </c>
      <c r="F311" s="312"/>
      <c r="G311" s="314"/>
      <c r="H311" s="315"/>
      <c r="I311" s="8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2"/>
    </row>
    <row r="312" spans="1:20" ht="13.5" customHeight="1" x14ac:dyDescent="0.25">
      <c r="A312" s="307">
        <v>2</v>
      </c>
      <c r="B312" s="307"/>
      <c r="C312" s="170" t="s">
        <v>44</v>
      </c>
      <c r="D312" s="309"/>
      <c r="E312" s="170"/>
      <c r="F312" s="311"/>
      <c r="G312" s="313"/>
      <c r="H312" s="315"/>
      <c r="I312" s="8"/>
      <c r="J312" s="8"/>
      <c r="K312" s="8"/>
      <c r="L312" s="8"/>
      <c r="M312" s="8"/>
      <c r="N312" s="8"/>
      <c r="O312" s="8"/>
      <c r="P312" s="8"/>
      <c r="Q312" s="8"/>
      <c r="R312" s="8"/>
      <c r="S312" s="8"/>
      <c r="T312" s="82"/>
    </row>
    <row r="313" spans="1:20" ht="13.5" customHeight="1" x14ac:dyDescent="0.25">
      <c r="A313" s="308"/>
      <c r="B313" s="308"/>
      <c r="C313" s="171" t="str">
        <f>IFERROR(VLOOKUP(C312,Списки!$E:$F,2,0)," ")</f>
        <v>LEVASHOVSKOE HWY 20</v>
      </c>
      <c r="D313" s="310"/>
      <c r="E313" s="171" t="str">
        <f>IFERROR(VLOOKUP(E312,Списки!$E:$F,2,0)," ")</f>
        <v xml:space="preserve"> </v>
      </c>
      <c r="F313" s="312"/>
      <c r="G313" s="314"/>
      <c r="H313" s="315"/>
      <c r="I313" s="8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2"/>
    </row>
    <row r="314" spans="1:20" ht="13.5" customHeight="1" x14ac:dyDescent="0.25">
      <c r="A314" s="307">
        <v>3</v>
      </c>
      <c r="B314" s="307"/>
      <c r="C314" s="170"/>
      <c r="D314" s="309"/>
      <c r="E314" s="170"/>
      <c r="F314" s="311"/>
      <c r="G314" s="313"/>
      <c r="H314" s="315"/>
      <c r="I314" s="8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2"/>
    </row>
    <row r="315" spans="1:20" ht="13.5" customHeight="1" x14ac:dyDescent="0.25">
      <c r="A315" s="308"/>
      <c r="B315" s="308"/>
      <c r="C315" s="171" t="str">
        <f>IFERROR(VLOOKUP(C314,Списки!$E:$F,2,0)," ")</f>
        <v xml:space="preserve"> </v>
      </c>
      <c r="D315" s="310"/>
      <c r="E315" s="171" t="str">
        <f>IFERROR(VLOOKUP(E314,Списки!$E:$F,2,0)," ")</f>
        <v xml:space="preserve"> </v>
      </c>
      <c r="F315" s="312"/>
      <c r="G315" s="314"/>
      <c r="H315" s="315"/>
      <c r="I315" s="8"/>
      <c r="J315" s="8"/>
      <c r="K315" s="8"/>
      <c r="L315" s="8"/>
      <c r="M315" s="8"/>
      <c r="N315" s="8"/>
      <c r="O315" s="8"/>
      <c r="P315" s="8"/>
      <c r="Q315" s="8"/>
      <c r="R315" s="8"/>
      <c r="S315" s="8"/>
      <c r="T315" s="82"/>
    </row>
    <row r="316" spans="1:20" ht="13.5" customHeight="1" x14ac:dyDescent="0.25">
      <c r="A316" s="307">
        <v>4</v>
      </c>
      <c r="B316" s="307"/>
      <c r="C316" s="170"/>
      <c r="D316" s="309"/>
      <c r="E316" s="170"/>
      <c r="F316" s="311"/>
      <c r="G316" s="313"/>
      <c r="H316" s="315"/>
      <c r="I316" s="8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2"/>
    </row>
    <row r="317" spans="1:20" ht="13.5" customHeight="1" x14ac:dyDescent="0.25">
      <c r="A317" s="308"/>
      <c r="B317" s="308"/>
      <c r="C317" s="171" t="str">
        <f>IFERROR(VLOOKUP(C316,Списки!$E:$F,2,0)," ")</f>
        <v xml:space="preserve"> </v>
      </c>
      <c r="D317" s="310"/>
      <c r="E317" s="171" t="str">
        <f>IFERROR(VLOOKUP(E316,Списки!$E:$F,2,0)," ")</f>
        <v xml:space="preserve"> </v>
      </c>
      <c r="F317" s="312"/>
      <c r="G317" s="314"/>
      <c r="H317" s="315"/>
      <c r="I317" s="8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2"/>
    </row>
    <row r="318" spans="1:20" ht="13.5" customHeight="1" x14ac:dyDescent="0.25">
      <c r="A318" s="307">
        <v>5</v>
      </c>
      <c r="B318" s="307"/>
      <c r="C318" s="170"/>
      <c r="D318" s="309"/>
      <c r="E318" s="172"/>
      <c r="F318" s="311"/>
      <c r="G318" s="313"/>
      <c r="H318" s="315"/>
      <c r="I318" s="8"/>
      <c r="J318" s="8"/>
      <c r="K318" s="8"/>
      <c r="L318" s="8"/>
      <c r="M318" s="8"/>
      <c r="N318" s="8"/>
      <c r="O318" s="8"/>
      <c r="P318" s="8"/>
      <c r="Q318" s="8"/>
      <c r="R318" s="8"/>
      <c r="S318" s="8"/>
      <c r="T318" s="82"/>
    </row>
    <row r="319" spans="1:20" ht="13.5" customHeight="1" x14ac:dyDescent="0.25">
      <c r="A319" s="308"/>
      <c r="B319" s="308"/>
      <c r="C319" s="171" t="str">
        <f>IFERROR(VLOOKUP(C318,Списки!$E:$F,2,0)," ")</f>
        <v xml:space="preserve"> </v>
      </c>
      <c r="D319" s="310"/>
      <c r="E319" s="172" t="str">
        <f>IFERROR(VLOOKUP(E318,Списки!$E:$F,2,0)," ")</f>
        <v xml:space="preserve"> </v>
      </c>
      <c r="F319" s="312"/>
      <c r="G319" s="314"/>
      <c r="H319" s="315"/>
      <c r="I319" s="8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2"/>
    </row>
    <row r="320" spans="1:20" ht="13.5" customHeight="1" x14ac:dyDescent="0.25">
      <c r="A320" s="307">
        <v>6</v>
      </c>
      <c r="B320" s="307"/>
      <c r="C320" s="170"/>
      <c r="D320" s="309"/>
      <c r="E320" s="170"/>
      <c r="F320" s="311"/>
      <c r="G320" s="313"/>
      <c r="H320" s="315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2"/>
    </row>
    <row r="321" spans="1:20" ht="13.5" customHeight="1" x14ac:dyDescent="0.25">
      <c r="A321" s="308"/>
      <c r="B321" s="308"/>
      <c r="C321" s="171" t="str">
        <f>IFERROR(VLOOKUP(C320,Списки!$E:$F,2,0)," ")</f>
        <v xml:space="preserve"> </v>
      </c>
      <c r="D321" s="310"/>
      <c r="E321" s="179" t="str">
        <f>IFERROR(VLOOKUP(E320,Списки!$E:$F,2,0)," ")</f>
        <v xml:space="preserve"> </v>
      </c>
      <c r="F321" s="312"/>
      <c r="G321" s="314"/>
      <c r="H321" s="315"/>
      <c r="I321" s="8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2"/>
    </row>
    <row r="322" spans="1:20" ht="13.5" customHeight="1" x14ac:dyDescent="0.25">
      <c r="A322" s="307">
        <v>7</v>
      </c>
      <c r="B322" s="307"/>
      <c r="C322" s="170"/>
      <c r="D322" s="309"/>
      <c r="E322" s="170"/>
      <c r="F322" s="311"/>
      <c r="G322" s="313"/>
      <c r="H322" s="315"/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2"/>
    </row>
    <row r="323" spans="1:20" ht="13.5" customHeight="1" x14ac:dyDescent="0.25">
      <c r="A323" s="308"/>
      <c r="B323" s="308"/>
      <c r="C323" s="179" t="str">
        <f>IFERROR(VLOOKUP(C322,Списки!$E:$F,2,0)," ")</f>
        <v xml:space="preserve"> </v>
      </c>
      <c r="D323" s="310"/>
      <c r="E323" s="171" t="str">
        <f>IFERROR(VLOOKUP(E322,Списки!$E:$F,2,0)," ")</f>
        <v xml:space="preserve"> </v>
      </c>
      <c r="F323" s="312"/>
      <c r="G323" s="314"/>
      <c r="H323" s="315"/>
      <c r="I323" s="8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2"/>
    </row>
    <row r="324" spans="1:20" ht="13.5" customHeight="1" x14ac:dyDescent="0.25">
      <c r="A324" s="307">
        <v>8</v>
      </c>
      <c r="B324" s="307"/>
      <c r="C324" s="170"/>
      <c r="D324" s="309"/>
      <c r="E324" s="170"/>
      <c r="F324" s="311"/>
      <c r="G324" s="313"/>
      <c r="H324" s="315"/>
      <c r="I324" s="8"/>
      <c r="J324" s="8"/>
      <c r="K324" s="8"/>
      <c r="L324" s="8"/>
      <c r="M324" s="8"/>
      <c r="N324" s="8"/>
      <c r="O324" s="8"/>
      <c r="P324" s="8"/>
      <c r="Q324" s="8"/>
      <c r="R324" s="8"/>
      <c r="S324" s="8"/>
      <c r="T324" s="82"/>
    </row>
    <row r="325" spans="1:20" ht="13.5" customHeight="1" x14ac:dyDescent="0.25">
      <c r="A325" s="308"/>
      <c r="B325" s="308"/>
      <c r="C325" s="179" t="str">
        <f>IFERROR(VLOOKUP(C324,Списки!$E:$F,2,0)," ")</f>
        <v xml:space="preserve"> </v>
      </c>
      <c r="D325" s="310"/>
      <c r="E325" s="171" t="str">
        <f>IFERROR(VLOOKUP(E324,Списки!$E:$F,2,0)," ")</f>
        <v xml:space="preserve"> </v>
      </c>
      <c r="F325" s="312"/>
      <c r="G325" s="314"/>
      <c r="H325" s="315"/>
      <c r="I325" s="8"/>
      <c r="J325" s="8"/>
      <c r="K325" s="8"/>
      <c r="L325" s="8"/>
      <c r="M325" s="8"/>
      <c r="N325" s="8"/>
      <c r="O325" s="8"/>
      <c r="P325" s="8"/>
      <c r="Q325" s="8"/>
      <c r="R325" s="8"/>
      <c r="S325" s="8"/>
      <c r="T325" s="82"/>
    </row>
    <row r="326" spans="1:20" ht="13.5" customHeight="1" x14ac:dyDescent="0.25">
      <c r="A326" s="307">
        <v>9</v>
      </c>
      <c r="B326" s="307"/>
      <c r="C326" s="170"/>
      <c r="D326" s="309"/>
      <c r="E326" s="170"/>
      <c r="F326" s="311"/>
      <c r="G326" s="313"/>
      <c r="H326" s="315"/>
      <c r="I326" s="8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2"/>
    </row>
    <row r="327" spans="1:20" ht="13.5" customHeight="1" x14ac:dyDescent="0.25">
      <c r="A327" s="308"/>
      <c r="B327" s="308"/>
      <c r="C327" s="171" t="str">
        <f>IFERROR(VLOOKUP(C326,Списки!$E:$F,2,0)," ")</f>
        <v xml:space="preserve"> </v>
      </c>
      <c r="D327" s="310"/>
      <c r="E327" s="171" t="str">
        <f>IFERROR(VLOOKUP(E326,Списки!$E:$F,2,0)," ")</f>
        <v xml:space="preserve"> </v>
      </c>
      <c r="F327" s="312"/>
      <c r="G327" s="314"/>
      <c r="H327" s="315"/>
      <c r="I327" s="8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2"/>
    </row>
    <row r="328" spans="1:20" ht="13.5" customHeight="1" x14ac:dyDescent="0.25">
      <c r="A328" s="307">
        <v>10</v>
      </c>
      <c r="B328" s="307"/>
      <c r="C328" s="170"/>
      <c r="D328" s="309"/>
      <c r="E328" s="170"/>
      <c r="F328" s="311"/>
      <c r="G328" s="313"/>
      <c r="H328" s="315"/>
      <c r="I328" s="8"/>
      <c r="J328" s="8"/>
      <c r="K328" s="8"/>
      <c r="L328" s="8"/>
      <c r="M328" s="8"/>
      <c r="N328" s="8"/>
      <c r="O328" s="8"/>
      <c r="P328" s="8"/>
      <c r="Q328" s="8"/>
      <c r="R328" s="8"/>
      <c r="S328" s="8"/>
      <c r="T328" s="82"/>
    </row>
    <row r="329" spans="1:20" ht="13.5" customHeight="1" x14ac:dyDescent="0.25">
      <c r="A329" s="308"/>
      <c r="B329" s="308"/>
      <c r="C329" s="171" t="str">
        <f>IFERROR(VLOOKUP(C328,Списки!$E:$F,2,0)," ")</f>
        <v xml:space="preserve"> </v>
      </c>
      <c r="D329" s="310"/>
      <c r="E329" s="171" t="str">
        <f>IFERROR(VLOOKUP(E328,Списки!$E:$F,2,0)," ")</f>
        <v xml:space="preserve"> </v>
      </c>
      <c r="F329" s="312"/>
      <c r="G329" s="314"/>
      <c r="H329" s="315"/>
      <c r="I329" s="8"/>
      <c r="J329" s="8"/>
      <c r="K329" s="8"/>
      <c r="L329" s="8"/>
      <c r="M329" s="8"/>
      <c r="N329" s="8"/>
      <c r="O329" s="8"/>
      <c r="P329" s="8"/>
      <c r="Q329" s="8"/>
      <c r="R329" s="8"/>
      <c r="S329" s="8"/>
      <c r="T329" s="82"/>
    </row>
    <row r="330" spans="1:20" ht="13.5" customHeight="1" x14ac:dyDescent="0.25">
      <c r="A330" s="307">
        <v>11</v>
      </c>
      <c r="B330" s="307"/>
      <c r="C330" s="170"/>
      <c r="D330" s="309"/>
      <c r="E330" s="170"/>
      <c r="F330" s="311"/>
      <c r="G330" s="313"/>
      <c r="H330" s="315"/>
      <c r="I330" s="8"/>
      <c r="J330" s="8"/>
      <c r="K330" s="8"/>
      <c r="L330" s="8"/>
      <c r="M330" s="8"/>
      <c r="N330" s="8"/>
      <c r="O330" s="8"/>
      <c r="P330" s="8"/>
      <c r="Q330" s="8"/>
      <c r="R330" s="8"/>
      <c r="S330" s="8"/>
      <c r="T330" s="82"/>
    </row>
    <row r="331" spans="1:20" ht="13.5" customHeight="1" x14ac:dyDescent="0.25">
      <c r="A331" s="308"/>
      <c r="B331" s="308"/>
      <c r="C331" s="171" t="str">
        <f>IFERROR(VLOOKUP(C330,Списки!$E:$F,2,0)," ")</f>
        <v xml:space="preserve"> </v>
      </c>
      <c r="D331" s="310"/>
      <c r="E331" s="171" t="str">
        <f>IFERROR(VLOOKUP(E330,Списки!$E:$F,2,0)," ")</f>
        <v xml:space="preserve"> </v>
      </c>
      <c r="F331" s="312"/>
      <c r="G331" s="314"/>
      <c r="H331" s="315"/>
      <c r="I331" s="8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2"/>
    </row>
    <row r="332" spans="1:20" ht="13.5" customHeight="1" x14ac:dyDescent="0.25">
      <c r="A332" s="307">
        <v>12</v>
      </c>
      <c r="B332" s="307"/>
      <c r="C332" s="170"/>
      <c r="D332" s="309"/>
      <c r="E332" s="170"/>
      <c r="F332" s="311"/>
      <c r="G332" s="313"/>
      <c r="H332" s="315"/>
      <c r="I332" s="8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2"/>
    </row>
    <row r="333" spans="1:20" ht="13.5" customHeight="1" x14ac:dyDescent="0.25">
      <c r="A333" s="308"/>
      <c r="B333" s="308"/>
      <c r="C333" s="171" t="str">
        <f>IFERROR(VLOOKUP(C332,Списки!$E:$F,2,0)," ")</f>
        <v xml:space="preserve"> </v>
      </c>
      <c r="D333" s="310"/>
      <c r="E333" s="171" t="str">
        <f>IFERROR(VLOOKUP(E332,Списки!$E:$F,2,0)," ")</f>
        <v xml:space="preserve"> </v>
      </c>
      <c r="F333" s="312"/>
      <c r="G333" s="314"/>
      <c r="H333" s="315"/>
      <c r="I333" s="8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2"/>
    </row>
    <row r="334" spans="1:20" ht="13.5" customHeight="1" x14ac:dyDescent="0.25">
      <c r="A334" s="307">
        <v>13</v>
      </c>
      <c r="B334" s="307"/>
      <c r="C334" s="170"/>
      <c r="D334" s="309"/>
      <c r="E334" s="170"/>
      <c r="F334" s="311"/>
      <c r="G334" s="313"/>
      <c r="H334" s="315"/>
      <c r="I334" s="8"/>
      <c r="J334" s="8"/>
      <c r="K334" s="8"/>
      <c r="L334" s="8"/>
      <c r="M334" s="8"/>
      <c r="N334" s="8"/>
      <c r="O334" s="8"/>
      <c r="P334" s="8"/>
      <c r="Q334" s="8"/>
      <c r="R334" s="8"/>
      <c r="S334" s="8"/>
      <c r="T334" s="82"/>
    </row>
    <row r="335" spans="1:20" ht="13.5" customHeight="1" x14ac:dyDescent="0.25">
      <c r="A335" s="308"/>
      <c r="B335" s="308"/>
      <c r="C335" s="171" t="str">
        <f>IFERROR(VLOOKUP(C334,Списки!$E:$F,2,0)," ")</f>
        <v xml:space="preserve"> </v>
      </c>
      <c r="D335" s="310"/>
      <c r="E335" s="171" t="str">
        <f>IFERROR(VLOOKUP(E334,Списки!$E:$F,2,0)," ")</f>
        <v xml:space="preserve"> </v>
      </c>
      <c r="F335" s="312"/>
      <c r="G335" s="314"/>
      <c r="H335" s="315"/>
      <c r="I335" s="8"/>
      <c r="J335" s="8"/>
      <c r="K335" s="8"/>
      <c r="L335" s="8"/>
      <c r="M335" s="8"/>
      <c r="N335" s="8"/>
      <c r="O335" s="8"/>
      <c r="P335" s="8"/>
      <c r="Q335" s="8"/>
      <c r="R335" s="8"/>
      <c r="S335" s="8"/>
      <c r="T335" s="82"/>
    </row>
    <row r="336" spans="1:20" ht="13.5" customHeight="1" x14ac:dyDescent="0.25">
      <c r="A336" s="307">
        <v>14</v>
      </c>
      <c r="B336" s="307"/>
      <c r="C336" s="170"/>
      <c r="D336" s="309"/>
      <c r="E336" s="170"/>
      <c r="F336" s="311"/>
      <c r="G336" s="313"/>
      <c r="H336" s="315"/>
      <c r="I336" s="8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2"/>
    </row>
    <row r="337" spans="1:20" ht="13.5" customHeight="1" x14ac:dyDescent="0.25">
      <c r="A337" s="308"/>
      <c r="B337" s="308"/>
      <c r="C337" s="171" t="str">
        <f>IFERROR(VLOOKUP(C336,Списки!$E:$F,2,0)," ")</f>
        <v xml:space="preserve"> </v>
      </c>
      <c r="D337" s="310"/>
      <c r="E337" s="171" t="str">
        <f>IFERROR(VLOOKUP(E336,Списки!$E:$F,2,0)," ")</f>
        <v xml:space="preserve"> </v>
      </c>
      <c r="F337" s="312"/>
      <c r="G337" s="314"/>
      <c r="H337" s="315"/>
      <c r="I337" s="8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2"/>
    </row>
    <row r="338" spans="1:20" ht="13.5" customHeight="1" x14ac:dyDescent="0.25">
      <c r="A338" s="307">
        <v>15</v>
      </c>
      <c r="B338" s="307"/>
      <c r="C338" s="170"/>
      <c r="D338" s="309"/>
      <c r="E338" s="170"/>
      <c r="F338" s="311"/>
      <c r="G338" s="313"/>
      <c r="H338" s="315"/>
      <c r="I338" s="8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2"/>
    </row>
    <row r="339" spans="1:20" ht="13.5" customHeight="1" x14ac:dyDescent="0.25">
      <c r="A339" s="308"/>
      <c r="B339" s="308"/>
      <c r="C339" s="171" t="str">
        <f>IFERROR(VLOOKUP(C338,Списки!$E:$F,2,0)," ")</f>
        <v xml:space="preserve"> </v>
      </c>
      <c r="D339" s="310"/>
      <c r="E339" s="171" t="str">
        <f>IFERROR(VLOOKUP(E338,Списки!$E:$F,2,0)," ")</f>
        <v xml:space="preserve"> </v>
      </c>
      <c r="F339" s="312"/>
      <c r="G339" s="314"/>
      <c r="H339" s="315"/>
      <c r="I339" s="8"/>
      <c r="J339" s="8"/>
      <c r="K339" s="8"/>
      <c r="L339" s="8"/>
      <c r="M339" s="8"/>
      <c r="N339" s="8"/>
      <c r="O339" s="8"/>
      <c r="P339" s="8"/>
      <c r="Q339" s="8"/>
      <c r="R339" s="8"/>
      <c r="S339" s="8"/>
      <c r="T339" s="82"/>
    </row>
    <row r="340" spans="1:20" x14ac:dyDescent="0.25">
      <c r="A340" s="36"/>
      <c r="B340" s="37"/>
      <c r="C340" s="173"/>
      <c r="D340" s="173"/>
      <c r="E340" s="174" t="s">
        <v>30</v>
      </c>
      <c r="F340" s="39">
        <f>IFERROR(SUM(IFERROR(IF((LOOKUP(9E+307,F310:F339))&gt;$M$39,(LOOKUP(9E+307,F310:F339))-$M$39,IF((LOOKUP(9E+307,F310:F339))&lt;0.166666667,0+(LOOKUP(9E+307,F310:F339))+1-$M$39,0)),0),(IF(AND(IF(D310,$M$38-D310,0)&gt;0,F310,F310&gt;D310),$M$38-D310,IF(AND(D310,F310,D310&gt;F310),"error",0)))),"ОШИБКА")</f>
        <v>0</v>
      </c>
      <c r="G340" s="40" t="s">
        <v>27</v>
      </c>
      <c r="H340" s="38">
        <f>SUM(H310:H339)</f>
        <v>0</v>
      </c>
      <c r="I340" s="8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2"/>
    </row>
    <row r="341" spans="1:20" ht="15.75" x14ac:dyDescent="0.25">
      <c r="A341" s="316">
        <f>DATE(K1,J1,11)</f>
        <v>43841</v>
      </c>
      <c r="B341" s="316"/>
      <c r="C341" s="316"/>
      <c r="D341" s="316"/>
      <c r="E341" s="316"/>
      <c r="F341" s="316"/>
      <c r="G341" s="316"/>
      <c r="H341" s="316"/>
      <c r="I341" s="8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2"/>
    </row>
    <row r="342" spans="1:20" ht="13.5" customHeight="1" x14ac:dyDescent="0.25">
      <c r="A342" s="318"/>
      <c r="B342" s="320" t="s">
        <v>34</v>
      </c>
      <c r="C342" s="175" t="s">
        <v>39</v>
      </c>
      <c r="D342" s="322" t="s">
        <v>36</v>
      </c>
      <c r="E342" s="175" t="s">
        <v>37</v>
      </c>
      <c r="F342" s="320" t="s">
        <v>36</v>
      </c>
      <c r="G342" s="324" t="s">
        <v>35</v>
      </c>
      <c r="H342" s="315" t="s">
        <v>40</v>
      </c>
      <c r="I342" s="8"/>
      <c r="J342" s="8"/>
      <c r="K342" s="8"/>
      <c r="L342" s="8"/>
      <c r="M342" s="8"/>
      <c r="N342" s="8"/>
      <c r="O342" s="8"/>
      <c r="P342" s="8"/>
      <c r="Q342" s="8"/>
      <c r="R342" s="8"/>
      <c r="S342" s="8"/>
      <c r="T342" s="82"/>
    </row>
    <row r="343" spans="1:20" ht="13.5" customHeight="1" x14ac:dyDescent="0.25">
      <c r="A343" s="319"/>
      <c r="B343" s="321"/>
      <c r="C343" s="169" t="s">
        <v>38</v>
      </c>
      <c r="D343" s="323"/>
      <c r="E343" s="169" t="s">
        <v>38</v>
      </c>
      <c r="F343" s="321"/>
      <c r="G343" s="325"/>
      <c r="H343" s="315"/>
      <c r="I343" s="8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2"/>
    </row>
    <row r="344" spans="1:20" ht="13.5" customHeight="1" x14ac:dyDescent="0.25">
      <c r="A344" s="307">
        <v>1</v>
      </c>
      <c r="B344" s="307"/>
      <c r="C344" s="170" t="s">
        <v>43</v>
      </c>
      <c r="D344" s="309"/>
      <c r="E344" s="170" t="s">
        <v>44</v>
      </c>
      <c r="F344" s="311"/>
      <c r="G344" s="313"/>
      <c r="H344" s="315"/>
      <c r="I344" s="8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2"/>
    </row>
    <row r="345" spans="1:20" ht="13.5" customHeight="1" x14ac:dyDescent="0.25">
      <c r="A345" s="308"/>
      <c r="B345" s="308"/>
      <c r="C345" s="171" t="str">
        <f>IFERROR(VLOOKUP(C344,Списки!$E:$F,2,0)," ")</f>
        <v>SAVUSHKINA ST 128</v>
      </c>
      <c r="D345" s="310"/>
      <c r="E345" s="171" t="str">
        <f>IFERROR(VLOOKUP(E344,Списки!$E:$F,2,0)," ")</f>
        <v>LEVASHOVSKOE HWY 20</v>
      </c>
      <c r="F345" s="312"/>
      <c r="G345" s="314"/>
      <c r="H345" s="315"/>
      <c r="I345" s="8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2"/>
    </row>
    <row r="346" spans="1:20" ht="13.5" customHeight="1" x14ac:dyDescent="0.25">
      <c r="A346" s="307">
        <v>2</v>
      </c>
      <c r="B346" s="307"/>
      <c r="C346" s="170" t="s">
        <v>44</v>
      </c>
      <c r="D346" s="309"/>
      <c r="E346" s="170"/>
      <c r="F346" s="311"/>
      <c r="G346" s="313"/>
      <c r="H346" s="315"/>
      <c r="I346" s="8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2"/>
    </row>
    <row r="347" spans="1:20" ht="13.5" customHeight="1" x14ac:dyDescent="0.25">
      <c r="A347" s="308"/>
      <c r="B347" s="308"/>
      <c r="C347" s="171" t="str">
        <f>IFERROR(VLOOKUP(C346,Списки!$E:$F,2,0)," ")</f>
        <v>LEVASHOVSKOE HWY 20</v>
      </c>
      <c r="D347" s="310"/>
      <c r="E347" s="171" t="str">
        <f>IFERROR(VLOOKUP(E346,Списки!$E:$F,2,0)," ")</f>
        <v xml:space="preserve"> </v>
      </c>
      <c r="F347" s="312"/>
      <c r="G347" s="314"/>
      <c r="H347" s="315"/>
      <c r="I347" s="8"/>
      <c r="J347" s="8"/>
      <c r="K347" s="8"/>
      <c r="L347" s="8"/>
      <c r="M347" s="8"/>
      <c r="N347" s="8"/>
      <c r="O347" s="8"/>
      <c r="P347" s="8"/>
      <c r="Q347" s="8"/>
      <c r="R347" s="8"/>
      <c r="S347" s="8"/>
      <c r="T347" s="82"/>
    </row>
    <row r="348" spans="1:20" ht="13.5" customHeight="1" x14ac:dyDescent="0.25">
      <c r="A348" s="307">
        <v>3</v>
      </c>
      <c r="B348" s="307"/>
      <c r="C348" s="170"/>
      <c r="D348" s="309"/>
      <c r="E348" s="170"/>
      <c r="F348" s="311"/>
      <c r="G348" s="313"/>
      <c r="H348" s="315"/>
      <c r="I348" s="8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2"/>
    </row>
    <row r="349" spans="1:20" ht="13.5" customHeight="1" x14ac:dyDescent="0.25">
      <c r="A349" s="308"/>
      <c r="B349" s="308"/>
      <c r="C349" s="171" t="str">
        <f>IFERROR(VLOOKUP(C348,Списки!$E:$F,2,0)," ")</f>
        <v xml:space="preserve"> </v>
      </c>
      <c r="D349" s="310"/>
      <c r="E349" s="171" t="str">
        <f>IFERROR(VLOOKUP(E348,Списки!$E:$F,2,0)," ")</f>
        <v xml:space="preserve"> </v>
      </c>
      <c r="F349" s="312"/>
      <c r="G349" s="314"/>
      <c r="H349" s="315"/>
      <c r="I349" s="8"/>
      <c r="J349" s="8"/>
      <c r="K349" s="8"/>
      <c r="L349" s="8"/>
      <c r="M349" s="8"/>
      <c r="N349" s="8"/>
      <c r="O349" s="8"/>
      <c r="P349" s="8"/>
      <c r="Q349" s="8"/>
      <c r="R349" s="8"/>
      <c r="S349" s="8"/>
      <c r="T349" s="82"/>
    </row>
    <row r="350" spans="1:20" ht="13.5" customHeight="1" x14ac:dyDescent="0.25">
      <c r="A350" s="307">
        <v>4</v>
      </c>
      <c r="B350" s="307"/>
      <c r="C350" s="170"/>
      <c r="D350" s="309"/>
      <c r="E350" s="170"/>
      <c r="F350" s="311"/>
      <c r="G350" s="313"/>
      <c r="H350" s="315"/>
      <c r="I350" s="8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2"/>
    </row>
    <row r="351" spans="1:20" ht="13.5" customHeight="1" x14ac:dyDescent="0.25">
      <c r="A351" s="308"/>
      <c r="B351" s="308"/>
      <c r="C351" s="171" t="str">
        <f>IFERROR(VLOOKUP(C350,Списки!$E:$F,2,0)," ")</f>
        <v xml:space="preserve"> </v>
      </c>
      <c r="D351" s="310"/>
      <c r="E351" s="171" t="str">
        <f>IFERROR(VLOOKUP(E350,Списки!$E:$F,2,0)," ")</f>
        <v xml:space="preserve"> </v>
      </c>
      <c r="F351" s="312"/>
      <c r="G351" s="314"/>
      <c r="H351" s="315"/>
      <c r="I351" s="8"/>
      <c r="J351" s="8"/>
      <c r="K351" s="8"/>
      <c r="L351" s="8"/>
      <c r="M351" s="8"/>
      <c r="N351" s="8"/>
      <c r="O351" s="8"/>
      <c r="P351" s="8"/>
      <c r="Q351" s="8"/>
      <c r="R351" s="8"/>
      <c r="S351" s="8"/>
      <c r="T351" s="82"/>
    </row>
    <row r="352" spans="1:20" ht="13.5" customHeight="1" x14ac:dyDescent="0.25">
      <c r="A352" s="307">
        <v>5</v>
      </c>
      <c r="B352" s="307"/>
      <c r="C352" s="170"/>
      <c r="D352" s="309"/>
      <c r="E352" s="172"/>
      <c r="F352" s="311"/>
      <c r="G352" s="313"/>
      <c r="H352" s="315"/>
      <c r="I352" s="8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2"/>
    </row>
    <row r="353" spans="1:20" ht="13.5" customHeight="1" x14ac:dyDescent="0.25">
      <c r="A353" s="308"/>
      <c r="B353" s="308"/>
      <c r="C353" s="171" t="str">
        <f>IFERROR(VLOOKUP(C352,Списки!$E:$F,2,0)," ")</f>
        <v xml:space="preserve"> </v>
      </c>
      <c r="D353" s="310"/>
      <c r="E353" s="172" t="str">
        <f>IFERROR(VLOOKUP(E352,Списки!$E:$F,2,0)," ")</f>
        <v xml:space="preserve"> </v>
      </c>
      <c r="F353" s="312"/>
      <c r="G353" s="314"/>
      <c r="H353" s="315"/>
      <c r="I353" s="8"/>
      <c r="J353" s="8"/>
      <c r="K353" s="8"/>
      <c r="L353" s="8"/>
      <c r="M353" s="8"/>
      <c r="N353" s="8"/>
      <c r="O353" s="8"/>
      <c r="P353" s="8"/>
      <c r="Q353" s="8"/>
      <c r="R353" s="8"/>
      <c r="S353" s="8"/>
      <c r="T353" s="82"/>
    </row>
    <row r="354" spans="1:20" ht="13.5" customHeight="1" x14ac:dyDescent="0.25">
      <c r="A354" s="307">
        <v>6</v>
      </c>
      <c r="B354" s="307"/>
      <c r="C354" s="170"/>
      <c r="D354" s="309"/>
      <c r="E354" s="170"/>
      <c r="F354" s="311"/>
      <c r="G354" s="313"/>
      <c r="H354" s="315"/>
      <c r="I354" s="8"/>
      <c r="J354" s="8"/>
      <c r="K354" s="8"/>
      <c r="L354" s="8"/>
      <c r="M354" s="8"/>
      <c r="N354" s="8"/>
      <c r="O354" s="8"/>
      <c r="P354" s="8"/>
      <c r="Q354" s="8"/>
      <c r="R354" s="8"/>
      <c r="S354" s="8"/>
      <c r="T354" s="82"/>
    </row>
    <row r="355" spans="1:20" ht="13.5" customHeight="1" x14ac:dyDescent="0.25">
      <c r="A355" s="308"/>
      <c r="B355" s="308"/>
      <c r="C355" s="171" t="str">
        <f>IFERROR(VLOOKUP(C354,Списки!$E:$F,2,0)," ")</f>
        <v xml:space="preserve"> </v>
      </c>
      <c r="D355" s="310"/>
      <c r="E355" s="179" t="str">
        <f>IFERROR(VLOOKUP(E354,Списки!$E:$F,2,0)," ")</f>
        <v xml:space="preserve"> </v>
      </c>
      <c r="F355" s="312"/>
      <c r="G355" s="314"/>
      <c r="H355" s="315"/>
      <c r="I355" s="8"/>
      <c r="J355" s="8"/>
      <c r="K355" s="8"/>
      <c r="L355" s="8"/>
      <c r="M355" s="8"/>
      <c r="N355" s="8"/>
      <c r="O355" s="8"/>
      <c r="P355" s="8"/>
      <c r="Q355" s="8"/>
      <c r="R355" s="8"/>
      <c r="S355" s="8"/>
      <c r="T355" s="82"/>
    </row>
    <row r="356" spans="1:20" ht="13.5" customHeight="1" x14ac:dyDescent="0.25">
      <c r="A356" s="307">
        <v>7</v>
      </c>
      <c r="B356" s="307"/>
      <c r="C356" s="170"/>
      <c r="D356" s="309"/>
      <c r="E356" s="170"/>
      <c r="F356" s="311"/>
      <c r="G356" s="313"/>
      <c r="H356" s="315"/>
      <c r="I356" s="8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2"/>
    </row>
    <row r="357" spans="1:20" ht="13.5" customHeight="1" x14ac:dyDescent="0.25">
      <c r="A357" s="308"/>
      <c r="B357" s="308"/>
      <c r="C357" s="179" t="str">
        <f>IFERROR(VLOOKUP(C356,Списки!$E:$F,2,0)," ")</f>
        <v xml:space="preserve"> </v>
      </c>
      <c r="D357" s="310"/>
      <c r="E357" s="171" t="str">
        <f>IFERROR(VLOOKUP(E356,Списки!$E:$F,2,0)," ")</f>
        <v xml:space="preserve"> </v>
      </c>
      <c r="F357" s="312"/>
      <c r="G357" s="314"/>
      <c r="H357" s="315"/>
      <c r="I357" s="8"/>
      <c r="J357" s="8"/>
      <c r="K357" s="8"/>
      <c r="L357" s="8"/>
      <c r="M357" s="8"/>
      <c r="N357" s="8"/>
      <c r="O357" s="8"/>
      <c r="P357" s="8"/>
      <c r="Q357" s="8"/>
      <c r="R357" s="8"/>
      <c r="S357" s="8"/>
      <c r="T357" s="82"/>
    </row>
    <row r="358" spans="1:20" ht="13.5" customHeight="1" x14ac:dyDescent="0.25">
      <c r="A358" s="307">
        <v>8</v>
      </c>
      <c r="B358" s="307"/>
      <c r="C358" s="170"/>
      <c r="D358" s="309"/>
      <c r="E358" s="170"/>
      <c r="F358" s="311"/>
      <c r="G358" s="313"/>
      <c r="H358" s="315"/>
      <c r="I358" s="8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2"/>
    </row>
    <row r="359" spans="1:20" ht="13.5" customHeight="1" x14ac:dyDescent="0.25">
      <c r="A359" s="308"/>
      <c r="B359" s="308"/>
      <c r="C359" s="179" t="str">
        <f>IFERROR(VLOOKUP(C358,Списки!$E:$F,2,0)," ")</f>
        <v xml:space="preserve"> </v>
      </c>
      <c r="D359" s="310"/>
      <c r="E359" s="171" t="str">
        <f>IFERROR(VLOOKUP(E358,Списки!$E:$F,2,0)," ")</f>
        <v xml:space="preserve"> </v>
      </c>
      <c r="F359" s="312"/>
      <c r="G359" s="314"/>
      <c r="H359" s="315"/>
      <c r="I359" s="8"/>
      <c r="J359" s="8"/>
      <c r="K359" s="8"/>
      <c r="L359" s="8"/>
      <c r="M359" s="8"/>
      <c r="N359" s="8"/>
      <c r="O359" s="8"/>
      <c r="P359" s="8"/>
      <c r="Q359" s="8"/>
      <c r="R359" s="8"/>
      <c r="S359" s="8"/>
      <c r="T359" s="82"/>
    </row>
    <row r="360" spans="1:20" ht="13.5" customHeight="1" x14ac:dyDescent="0.25">
      <c r="A360" s="307">
        <v>9</v>
      </c>
      <c r="B360" s="307"/>
      <c r="C360" s="170"/>
      <c r="D360" s="309"/>
      <c r="E360" s="170"/>
      <c r="F360" s="311"/>
      <c r="G360" s="313"/>
      <c r="H360" s="315"/>
      <c r="I360" s="8"/>
      <c r="J360" s="8"/>
      <c r="K360" s="8"/>
      <c r="L360" s="8"/>
      <c r="M360" s="8"/>
      <c r="N360" s="8"/>
      <c r="O360" s="8"/>
      <c r="P360" s="8"/>
      <c r="Q360" s="8"/>
      <c r="R360" s="8"/>
      <c r="S360" s="8"/>
      <c r="T360" s="82"/>
    </row>
    <row r="361" spans="1:20" ht="13.5" customHeight="1" x14ac:dyDescent="0.25">
      <c r="A361" s="308"/>
      <c r="B361" s="308"/>
      <c r="C361" s="171" t="str">
        <f>IFERROR(VLOOKUP(C360,Списки!$E:$F,2,0)," ")</f>
        <v xml:space="preserve"> </v>
      </c>
      <c r="D361" s="310"/>
      <c r="E361" s="171" t="str">
        <f>IFERROR(VLOOKUP(E360,Списки!$E:$F,2,0)," ")</f>
        <v xml:space="preserve"> </v>
      </c>
      <c r="F361" s="312"/>
      <c r="G361" s="314"/>
      <c r="H361" s="315"/>
      <c r="I361" s="8"/>
      <c r="J361" s="8"/>
      <c r="K361" s="8"/>
      <c r="L361" s="8"/>
      <c r="M361" s="8"/>
      <c r="N361" s="8"/>
      <c r="O361" s="8"/>
      <c r="P361" s="8"/>
      <c r="Q361" s="8"/>
      <c r="R361" s="8"/>
      <c r="S361" s="8"/>
      <c r="T361" s="82"/>
    </row>
    <row r="362" spans="1:20" ht="13.5" customHeight="1" x14ac:dyDescent="0.25">
      <c r="A362" s="307">
        <v>10</v>
      </c>
      <c r="B362" s="307"/>
      <c r="C362" s="170"/>
      <c r="D362" s="309"/>
      <c r="E362" s="170"/>
      <c r="F362" s="311"/>
      <c r="G362" s="313"/>
      <c r="H362" s="315"/>
      <c r="I362" s="8"/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2"/>
    </row>
    <row r="363" spans="1:20" ht="13.5" customHeight="1" x14ac:dyDescent="0.25">
      <c r="A363" s="308"/>
      <c r="B363" s="308"/>
      <c r="C363" s="171" t="str">
        <f>IFERROR(VLOOKUP(C362,Списки!$E:$F,2,0)," ")</f>
        <v xml:space="preserve"> </v>
      </c>
      <c r="D363" s="310"/>
      <c r="E363" s="171" t="str">
        <f>IFERROR(VLOOKUP(E362,Списки!$E:$F,2,0)," ")</f>
        <v xml:space="preserve"> </v>
      </c>
      <c r="F363" s="312"/>
      <c r="G363" s="314"/>
      <c r="H363" s="315"/>
      <c r="I363" s="8"/>
      <c r="J363" s="8"/>
      <c r="K363" s="8"/>
      <c r="L363" s="8"/>
      <c r="M363" s="8"/>
      <c r="N363" s="8"/>
      <c r="O363" s="8"/>
      <c r="P363" s="8"/>
      <c r="Q363" s="8"/>
      <c r="R363" s="8"/>
      <c r="S363" s="8"/>
      <c r="T363" s="82"/>
    </row>
    <row r="364" spans="1:20" ht="13.5" customHeight="1" x14ac:dyDescent="0.25">
      <c r="A364" s="307">
        <v>11</v>
      </c>
      <c r="B364" s="307"/>
      <c r="C364" s="170"/>
      <c r="D364" s="309"/>
      <c r="E364" s="170"/>
      <c r="F364" s="311"/>
      <c r="G364" s="313"/>
      <c r="H364" s="315"/>
      <c r="I364" s="8"/>
      <c r="J364" s="8"/>
      <c r="K364" s="8"/>
      <c r="L364" s="8"/>
      <c r="M364" s="8"/>
      <c r="N364" s="8"/>
      <c r="O364" s="8"/>
      <c r="P364" s="8"/>
      <c r="Q364" s="8"/>
      <c r="R364" s="8"/>
      <c r="S364" s="8"/>
      <c r="T364" s="82"/>
    </row>
    <row r="365" spans="1:20" ht="13.5" customHeight="1" x14ac:dyDescent="0.25">
      <c r="A365" s="308"/>
      <c r="B365" s="308"/>
      <c r="C365" s="171" t="str">
        <f>IFERROR(VLOOKUP(C364,Списки!$E:$F,2,0)," ")</f>
        <v xml:space="preserve"> </v>
      </c>
      <c r="D365" s="310"/>
      <c r="E365" s="171" t="str">
        <f>IFERROR(VLOOKUP(E364,Списки!$E:$F,2,0)," ")</f>
        <v xml:space="preserve"> </v>
      </c>
      <c r="F365" s="312"/>
      <c r="G365" s="314"/>
      <c r="H365" s="315"/>
      <c r="I365" s="8"/>
      <c r="J365" s="8"/>
      <c r="K365" s="8"/>
      <c r="L365" s="8"/>
      <c r="M365" s="8"/>
      <c r="N365" s="8"/>
      <c r="O365" s="8"/>
      <c r="P365" s="8"/>
      <c r="Q365" s="8"/>
      <c r="R365" s="8"/>
      <c r="S365" s="8"/>
      <c r="T365" s="82"/>
    </row>
    <row r="366" spans="1:20" ht="13.5" customHeight="1" x14ac:dyDescent="0.25">
      <c r="A366" s="307">
        <v>12</v>
      </c>
      <c r="B366" s="307"/>
      <c r="C366" s="170"/>
      <c r="D366" s="309"/>
      <c r="E366" s="170"/>
      <c r="F366" s="311"/>
      <c r="G366" s="313"/>
      <c r="H366" s="315"/>
      <c r="I366" s="8"/>
      <c r="J366" s="8"/>
      <c r="K366" s="8"/>
      <c r="L366" s="8"/>
      <c r="M366" s="8"/>
      <c r="N366" s="8"/>
      <c r="O366" s="8"/>
      <c r="P366" s="8"/>
      <c r="Q366" s="8"/>
      <c r="R366" s="8"/>
      <c r="S366" s="8"/>
      <c r="T366" s="82"/>
    </row>
    <row r="367" spans="1:20" ht="13.5" customHeight="1" x14ac:dyDescent="0.25">
      <c r="A367" s="308"/>
      <c r="B367" s="308"/>
      <c r="C367" s="171" t="str">
        <f>IFERROR(VLOOKUP(C366,Списки!$E:$F,2,0)," ")</f>
        <v xml:space="preserve"> </v>
      </c>
      <c r="D367" s="310"/>
      <c r="E367" s="171" t="str">
        <f>IFERROR(VLOOKUP(E366,Списки!$E:$F,2,0)," ")</f>
        <v xml:space="preserve"> </v>
      </c>
      <c r="F367" s="312"/>
      <c r="G367" s="314"/>
      <c r="H367" s="315"/>
      <c r="I367" s="8"/>
      <c r="J367" s="8"/>
      <c r="K367" s="8"/>
      <c r="L367" s="8"/>
      <c r="M367" s="8"/>
      <c r="N367" s="8"/>
      <c r="O367" s="8"/>
      <c r="P367" s="8"/>
      <c r="Q367" s="8"/>
      <c r="R367" s="8"/>
      <c r="S367" s="8"/>
      <c r="T367" s="82"/>
    </row>
    <row r="368" spans="1:20" ht="13.5" customHeight="1" x14ac:dyDescent="0.25">
      <c r="A368" s="307">
        <v>13</v>
      </c>
      <c r="B368" s="307"/>
      <c r="C368" s="170"/>
      <c r="D368" s="309"/>
      <c r="E368" s="170"/>
      <c r="F368" s="311"/>
      <c r="G368" s="313"/>
      <c r="H368" s="315"/>
      <c r="I368" s="8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2"/>
    </row>
    <row r="369" spans="1:20" ht="13.5" customHeight="1" x14ac:dyDescent="0.25">
      <c r="A369" s="308"/>
      <c r="B369" s="308"/>
      <c r="C369" s="171" t="str">
        <f>IFERROR(VLOOKUP(C368,Списки!$E:$F,2,0)," ")</f>
        <v xml:space="preserve"> </v>
      </c>
      <c r="D369" s="310"/>
      <c r="E369" s="171" t="str">
        <f>IFERROR(VLOOKUP(E368,Списки!$E:$F,2,0)," ")</f>
        <v xml:space="preserve"> </v>
      </c>
      <c r="F369" s="312"/>
      <c r="G369" s="314"/>
      <c r="H369" s="315"/>
      <c r="I369" s="8"/>
      <c r="J369" s="8"/>
      <c r="K369" s="8"/>
      <c r="L369" s="8"/>
      <c r="M369" s="8"/>
      <c r="N369" s="8"/>
      <c r="O369" s="8"/>
      <c r="P369" s="8"/>
      <c r="Q369" s="8"/>
      <c r="R369" s="8"/>
      <c r="S369" s="8"/>
      <c r="T369" s="82"/>
    </row>
    <row r="370" spans="1:20" ht="13.5" customHeight="1" x14ac:dyDescent="0.25">
      <c r="A370" s="307">
        <v>14</v>
      </c>
      <c r="B370" s="307"/>
      <c r="C370" s="170"/>
      <c r="D370" s="309"/>
      <c r="E370" s="170"/>
      <c r="F370" s="311"/>
      <c r="G370" s="313"/>
      <c r="H370" s="315"/>
      <c r="I370" s="8"/>
      <c r="J370" s="8"/>
      <c r="K370" s="8"/>
      <c r="L370" s="8"/>
      <c r="M370" s="8"/>
      <c r="N370" s="8"/>
      <c r="O370" s="8"/>
      <c r="P370" s="8"/>
      <c r="Q370" s="8"/>
      <c r="R370" s="8"/>
      <c r="S370" s="8"/>
      <c r="T370" s="82"/>
    </row>
    <row r="371" spans="1:20" ht="13.5" customHeight="1" x14ac:dyDescent="0.25">
      <c r="A371" s="308"/>
      <c r="B371" s="308"/>
      <c r="C371" s="171" t="str">
        <f>IFERROR(VLOOKUP(C370,Списки!$E:$F,2,0)," ")</f>
        <v xml:space="preserve"> </v>
      </c>
      <c r="D371" s="310"/>
      <c r="E371" s="171" t="str">
        <f>IFERROR(VLOOKUP(E370,Списки!$E:$F,2,0)," ")</f>
        <v xml:space="preserve"> </v>
      </c>
      <c r="F371" s="312"/>
      <c r="G371" s="314"/>
      <c r="H371" s="315"/>
      <c r="I371" s="8"/>
      <c r="J371" s="8"/>
      <c r="K371" s="8"/>
      <c r="L371" s="8"/>
      <c r="M371" s="8"/>
      <c r="N371" s="8"/>
      <c r="O371" s="8"/>
      <c r="P371" s="8"/>
      <c r="Q371" s="8"/>
      <c r="R371" s="8"/>
      <c r="S371" s="8"/>
      <c r="T371" s="82"/>
    </row>
    <row r="372" spans="1:20" ht="13.5" customHeight="1" x14ac:dyDescent="0.25">
      <c r="A372" s="307">
        <v>15</v>
      </c>
      <c r="B372" s="307"/>
      <c r="C372" s="170"/>
      <c r="D372" s="309"/>
      <c r="E372" s="170"/>
      <c r="F372" s="311"/>
      <c r="G372" s="313"/>
      <c r="H372" s="315"/>
      <c r="I372" s="8"/>
      <c r="J372" s="8"/>
      <c r="K372" s="8"/>
      <c r="L372" s="8"/>
      <c r="M372" s="8"/>
      <c r="N372" s="8"/>
      <c r="O372" s="8"/>
      <c r="P372" s="8"/>
      <c r="Q372" s="8"/>
      <c r="R372" s="8"/>
      <c r="S372" s="8"/>
      <c r="T372" s="82"/>
    </row>
    <row r="373" spans="1:20" ht="13.5" customHeight="1" x14ac:dyDescent="0.25">
      <c r="A373" s="308"/>
      <c r="B373" s="308"/>
      <c r="C373" s="171" t="str">
        <f>IFERROR(VLOOKUP(C372,Списки!$E:$F,2,0)," ")</f>
        <v xml:space="preserve"> </v>
      </c>
      <c r="D373" s="310"/>
      <c r="E373" s="171" t="str">
        <f>IFERROR(VLOOKUP(E372,Списки!$E:$F,2,0)," ")</f>
        <v xml:space="preserve"> </v>
      </c>
      <c r="F373" s="312"/>
      <c r="G373" s="314"/>
      <c r="H373" s="315"/>
      <c r="I373" s="8"/>
      <c r="J373" s="8"/>
      <c r="K373" s="8"/>
      <c r="L373" s="8"/>
      <c r="M373" s="8"/>
      <c r="N373" s="8"/>
      <c r="O373" s="8"/>
      <c r="P373" s="8"/>
      <c r="Q373" s="8"/>
      <c r="R373" s="8"/>
      <c r="S373" s="8"/>
      <c r="T373" s="82"/>
    </row>
    <row r="374" spans="1:20" x14ac:dyDescent="0.25">
      <c r="A374" s="36"/>
      <c r="B374" s="37"/>
      <c r="C374" s="173"/>
      <c r="D374" s="173"/>
      <c r="E374" s="174" t="s">
        <v>30</v>
      </c>
      <c r="F374" s="39">
        <f>IFERROR(SUM(IFERROR(IF((LOOKUP(9E+307,F344:F373))&gt;$M$39,(LOOKUP(9E+307,F344:F373))-$M$39,IF((LOOKUP(9E+307,F344:F373))&lt;0.166666667,0+(LOOKUP(9E+307,F344:F373))+1-$M$39,0)),0),(IF(AND(IF(D344,$M$38-D344,0)&gt;0,F344,F344&gt;D344),$M$38-D344,IF(AND(D344,F344,D344&gt;F344),"error",0)))),"ОШИБКА")</f>
        <v>0</v>
      </c>
      <c r="G374" s="40" t="s">
        <v>27</v>
      </c>
      <c r="H374" s="38">
        <f>SUM(H344:H373)</f>
        <v>0</v>
      </c>
      <c r="I374" s="8"/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2"/>
    </row>
    <row r="375" spans="1:20" ht="15.75" x14ac:dyDescent="0.25">
      <c r="A375" s="316">
        <f>DATE(K1,J1,12)</f>
        <v>43842</v>
      </c>
      <c r="B375" s="316"/>
      <c r="C375" s="316"/>
      <c r="D375" s="316"/>
      <c r="E375" s="316"/>
      <c r="F375" s="316"/>
      <c r="G375" s="316"/>
      <c r="H375" s="316"/>
      <c r="I375" s="8"/>
      <c r="J375" s="8"/>
      <c r="K375" s="8"/>
      <c r="L375" s="8"/>
      <c r="M375" s="8"/>
      <c r="N375" s="8"/>
      <c r="O375" s="8"/>
      <c r="P375" s="8"/>
      <c r="Q375" s="8"/>
      <c r="R375" s="8"/>
      <c r="S375" s="8"/>
      <c r="T375" s="82"/>
    </row>
    <row r="376" spans="1:20" ht="13.5" customHeight="1" x14ac:dyDescent="0.25">
      <c r="A376" s="318"/>
      <c r="B376" s="320" t="s">
        <v>34</v>
      </c>
      <c r="C376" s="175" t="s">
        <v>39</v>
      </c>
      <c r="D376" s="322" t="s">
        <v>36</v>
      </c>
      <c r="E376" s="175" t="s">
        <v>37</v>
      </c>
      <c r="F376" s="320" t="s">
        <v>36</v>
      </c>
      <c r="G376" s="324" t="s">
        <v>35</v>
      </c>
      <c r="H376" s="315" t="s">
        <v>40</v>
      </c>
      <c r="I376" s="8"/>
      <c r="J376" s="8"/>
      <c r="K376" s="8"/>
      <c r="L376" s="8"/>
      <c r="M376" s="8"/>
      <c r="N376" s="8"/>
      <c r="O376" s="8"/>
      <c r="P376" s="8"/>
      <c r="Q376" s="8"/>
      <c r="R376" s="8"/>
      <c r="S376" s="8"/>
      <c r="T376" s="82"/>
    </row>
    <row r="377" spans="1:20" ht="13.5" customHeight="1" x14ac:dyDescent="0.25">
      <c r="A377" s="319"/>
      <c r="B377" s="321"/>
      <c r="C377" s="169" t="s">
        <v>38</v>
      </c>
      <c r="D377" s="323"/>
      <c r="E377" s="169" t="s">
        <v>38</v>
      </c>
      <c r="F377" s="321"/>
      <c r="G377" s="325"/>
      <c r="H377" s="315"/>
      <c r="I377" s="8"/>
      <c r="J377" s="8"/>
      <c r="K377" s="8"/>
      <c r="L377" s="8"/>
      <c r="M377" s="8"/>
      <c r="N377" s="8"/>
      <c r="O377" s="8"/>
      <c r="P377" s="8"/>
      <c r="Q377" s="8"/>
      <c r="R377" s="8"/>
      <c r="S377" s="8"/>
      <c r="T377" s="82"/>
    </row>
    <row r="378" spans="1:20" ht="13.5" customHeight="1" x14ac:dyDescent="0.25">
      <c r="A378" s="307">
        <v>1</v>
      </c>
      <c r="B378" s="307"/>
      <c r="C378" s="170" t="s">
        <v>43</v>
      </c>
      <c r="D378" s="309"/>
      <c r="E378" s="170" t="s">
        <v>44</v>
      </c>
      <c r="F378" s="311"/>
      <c r="G378" s="313"/>
      <c r="H378" s="315"/>
      <c r="I378" s="8"/>
      <c r="J378" s="8"/>
      <c r="K378" s="8"/>
      <c r="L378" s="8"/>
      <c r="M378" s="8"/>
      <c r="N378" s="8"/>
      <c r="O378" s="8"/>
      <c r="P378" s="8"/>
      <c r="Q378" s="8"/>
      <c r="R378" s="8"/>
      <c r="S378" s="8"/>
      <c r="T378" s="82"/>
    </row>
    <row r="379" spans="1:20" ht="13.5" customHeight="1" x14ac:dyDescent="0.25">
      <c r="A379" s="308"/>
      <c r="B379" s="308"/>
      <c r="C379" s="171" t="str">
        <f>IFERROR(VLOOKUP(C378,Списки!$E:$F,2,0)," ")</f>
        <v>SAVUSHKINA ST 128</v>
      </c>
      <c r="D379" s="310"/>
      <c r="E379" s="171" t="str">
        <f>IFERROR(VLOOKUP(E378,Списки!$E:$F,2,0)," ")</f>
        <v>LEVASHOVSKOE HWY 20</v>
      </c>
      <c r="F379" s="312"/>
      <c r="G379" s="314"/>
      <c r="H379" s="315"/>
      <c r="I379" s="8"/>
      <c r="J379" s="8"/>
      <c r="K379" s="8"/>
      <c r="L379" s="8"/>
      <c r="M379" s="8"/>
      <c r="N379" s="8"/>
      <c r="O379" s="8"/>
      <c r="P379" s="8"/>
      <c r="Q379" s="8"/>
      <c r="R379" s="8"/>
      <c r="S379" s="8"/>
      <c r="T379" s="82"/>
    </row>
    <row r="380" spans="1:20" ht="13.5" customHeight="1" x14ac:dyDescent="0.25">
      <c r="A380" s="307">
        <v>2</v>
      </c>
      <c r="B380" s="307"/>
      <c r="C380" s="170" t="s">
        <v>44</v>
      </c>
      <c r="D380" s="309"/>
      <c r="E380" s="170"/>
      <c r="F380" s="311"/>
      <c r="G380" s="313"/>
      <c r="H380" s="315"/>
      <c r="I380" s="8"/>
      <c r="J380" s="8"/>
      <c r="K380" s="8"/>
      <c r="L380" s="8"/>
      <c r="M380" s="8"/>
      <c r="N380" s="8"/>
      <c r="O380" s="8"/>
      <c r="P380" s="8"/>
      <c r="Q380" s="8"/>
      <c r="R380" s="8"/>
      <c r="S380" s="8"/>
      <c r="T380" s="82"/>
    </row>
    <row r="381" spans="1:20" ht="13.5" customHeight="1" x14ac:dyDescent="0.25">
      <c r="A381" s="308"/>
      <c r="B381" s="308"/>
      <c r="C381" s="171" t="str">
        <f>IFERROR(VLOOKUP(C380,Списки!$E:$F,2,0)," ")</f>
        <v>LEVASHOVSKOE HWY 20</v>
      </c>
      <c r="D381" s="310"/>
      <c r="E381" s="171" t="str">
        <f>IFERROR(VLOOKUP(E380,Списки!$E:$F,2,0)," ")</f>
        <v xml:space="preserve"> </v>
      </c>
      <c r="F381" s="312"/>
      <c r="G381" s="314"/>
      <c r="H381" s="315"/>
      <c r="I381" s="8"/>
      <c r="J381" s="8"/>
      <c r="K381" s="8"/>
      <c r="L381" s="8"/>
      <c r="M381" s="8"/>
      <c r="N381" s="8"/>
      <c r="O381" s="8"/>
      <c r="P381" s="8"/>
      <c r="Q381" s="8"/>
      <c r="R381" s="8"/>
      <c r="S381" s="8"/>
      <c r="T381" s="82"/>
    </row>
    <row r="382" spans="1:20" ht="13.5" customHeight="1" x14ac:dyDescent="0.25">
      <c r="A382" s="307">
        <v>3</v>
      </c>
      <c r="B382" s="307"/>
      <c r="C382" s="170"/>
      <c r="D382" s="309"/>
      <c r="E382" s="170"/>
      <c r="F382" s="311"/>
      <c r="G382" s="313"/>
      <c r="H382" s="315"/>
      <c r="I382" s="8"/>
      <c r="J382" s="8"/>
      <c r="K382" s="8"/>
      <c r="L382" s="8"/>
      <c r="M382" s="8"/>
      <c r="N382" s="8"/>
      <c r="O382" s="8"/>
      <c r="P382" s="8"/>
      <c r="Q382" s="8"/>
      <c r="R382" s="8"/>
      <c r="S382" s="8"/>
      <c r="T382" s="82"/>
    </row>
    <row r="383" spans="1:20" ht="13.5" customHeight="1" x14ac:dyDescent="0.25">
      <c r="A383" s="308"/>
      <c r="B383" s="308"/>
      <c r="C383" s="171" t="str">
        <f>IFERROR(VLOOKUP(C382,Списки!$E:$F,2,0)," ")</f>
        <v xml:space="preserve"> </v>
      </c>
      <c r="D383" s="310"/>
      <c r="E383" s="171" t="str">
        <f>IFERROR(VLOOKUP(E382,Списки!$E:$F,2,0)," ")</f>
        <v xml:space="preserve"> </v>
      </c>
      <c r="F383" s="312"/>
      <c r="G383" s="314"/>
      <c r="H383" s="315"/>
      <c r="I383" s="8"/>
      <c r="J383" s="8"/>
      <c r="K383" s="8"/>
      <c r="L383" s="8"/>
      <c r="M383" s="8"/>
      <c r="N383" s="8"/>
      <c r="O383" s="8"/>
      <c r="P383" s="8"/>
      <c r="Q383" s="8"/>
      <c r="R383" s="8"/>
      <c r="S383" s="8"/>
      <c r="T383" s="82"/>
    </row>
    <row r="384" spans="1:20" ht="13.5" customHeight="1" x14ac:dyDescent="0.25">
      <c r="A384" s="307">
        <v>4</v>
      </c>
      <c r="B384" s="307"/>
      <c r="C384" s="170"/>
      <c r="D384" s="309"/>
      <c r="E384" s="170"/>
      <c r="F384" s="311"/>
      <c r="G384" s="313"/>
      <c r="H384" s="315"/>
      <c r="I384" s="8"/>
      <c r="J384" s="8"/>
      <c r="K384" s="8"/>
      <c r="L384" s="8"/>
      <c r="M384" s="8"/>
      <c r="N384" s="8"/>
      <c r="O384" s="8"/>
      <c r="P384" s="8"/>
      <c r="Q384" s="8"/>
      <c r="R384" s="8"/>
      <c r="S384" s="8"/>
      <c r="T384" s="82"/>
    </row>
    <row r="385" spans="1:20" ht="13.5" customHeight="1" x14ac:dyDescent="0.25">
      <c r="A385" s="308"/>
      <c r="B385" s="308"/>
      <c r="C385" s="171" t="str">
        <f>IFERROR(VLOOKUP(C384,Списки!$E:$F,2,0)," ")</f>
        <v xml:space="preserve"> </v>
      </c>
      <c r="D385" s="310"/>
      <c r="E385" s="171" t="str">
        <f>IFERROR(VLOOKUP(E384,Списки!$E:$F,2,0)," ")</f>
        <v xml:space="preserve"> </v>
      </c>
      <c r="F385" s="312"/>
      <c r="G385" s="314"/>
      <c r="H385" s="315"/>
      <c r="I385" s="8"/>
      <c r="J385" s="8"/>
      <c r="K385" s="8"/>
      <c r="L385" s="8"/>
      <c r="M385" s="8"/>
      <c r="N385" s="8"/>
      <c r="O385" s="8"/>
      <c r="P385" s="8"/>
      <c r="Q385" s="8"/>
      <c r="R385" s="8"/>
      <c r="S385" s="8"/>
      <c r="T385" s="82"/>
    </row>
    <row r="386" spans="1:20" ht="13.5" customHeight="1" x14ac:dyDescent="0.25">
      <c r="A386" s="307">
        <v>5</v>
      </c>
      <c r="B386" s="307"/>
      <c r="C386" s="170"/>
      <c r="D386" s="309"/>
      <c r="E386" s="172"/>
      <c r="F386" s="311"/>
      <c r="G386" s="313"/>
      <c r="H386" s="315"/>
      <c r="I386" s="8"/>
      <c r="J386" s="8"/>
      <c r="K386" s="8"/>
      <c r="L386" s="8"/>
      <c r="M386" s="8"/>
      <c r="N386" s="8"/>
      <c r="O386" s="8"/>
      <c r="P386" s="8"/>
      <c r="Q386" s="8"/>
      <c r="R386" s="8"/>
      <c r="S386" s="8"/>
      <c r="T386" s="82"/>
    </row>
    <row r="387" spans="1:20" ht="13.5" customHeight="1" x14ac:dyDescent="0.25">
      <c r="A387" s="308"/>
      <c r="B387" s="308"/>
      <c r="C387" s="171" t="str">
        <f>IFERROR(VLOOKUP(C386,Списки!$E:$F,2,0)," ")</f>
        <v xml:space="preserve"> </v>
      </c>
      <c r="D387" s="310"/>
      <c r="E387" s="172" t="str">
        <f>IFERROR(VLOOKUP(E386,Списки!$E:$F,2,0)," ")</f>
        <v xml:space="preserve"> </v>
      </c>
      <c r="F387" s="312"/>
      <c r="G387" s="314"/>
      <c r="H387" s="315"/>
      <c r="I387" s="8"/>
      <c r="J387" s="8"/>
      <c r="K387" s="8"/>
      <c r="L387" s="8"/>
      <c r="M387" s="8"/>
      <c r="N387" s="8"/>
      <c r="O387" s="8"/>
      <c r="P387" s="8"/>
      <c r="Q387" s="8"/>
      <c r="R387" s="8"/>
      <c r="S387" s="8"/>
      <c r="T387" s="82"/>
    </row>
    <row r="388" spans="1:20" ht="13.5" customHeight="1" x14ac:dyDescent="0.25">
      <c r="A388" s="307">
        <v>6</v>
      </c>
      <c r="B388" s="307"/>
      <c r="C388" s="170"/>
      <c r="D388" s="309"/>
      <c r="E388" s="170"/>
      <c r="F388" s="311"/>
      <c r="G388" s="313"/>
      <c r="H388" s="315"/>
      <c r="I388" s="8"/>
      <c r="J388" s="8"/>
      <c r="K388" s="8"/>
      <c r="L388" s="8"/>
      <c r="M388" s="8"/>
      <c r="N388" s="8"/>
      <c r="O388" s="8"/>
      <c r="P388" s="8"/>
      <c r="Q388" s="8"/>
      <c r="R388" s="8"/>
      <c r="S388" s="8"/>
      <c r="T388" s="82"/>
    </row>
    <row r="389" spans="1:20" ht="13.5" customHeight="1" x14ac:dyDescent="0.25">
      <c r="A389" s="308"/>
      <c r="B389" s="308"/>
      <c r="C389" s="171" t="str">
        <f>IFERROR(VLOOKUP(C388,Списки!$E:$F,2,0)," ")</f>
        <v xml:space="preserve"> </v>
      </c>
      <c r="D389" s="310"/>
      <c r="E389" s="179" t="str">
        <f>IFERROR(VLOOKUP(E388,Списки!$E:$F,2,0)," ")</f>
        <v xml:space="preserve"> </v>
      </c>
      <c r="F389" s="312"/>
      <c r="G389" s="314"/>
      <c r="H389" s="315"/>
      <c r="I389" s="8"/>
      <c r="J389" s="8"/>
      <c r="K389" s="8"/>
      <c r="L389" s="8"/>
      <c r="M389" s="8"/>
      <c r="N389" s="8"/>
      <c r="O389" s="8"/>
      <c r="P389" s="8"/>
      <c r="Q389" s="8"/>
      <c r="R389" s="8"/>
      <c r="S389" s="8"/>
      <c r="T389" s="82"/>
    </row>
    <row r="390" spans="1:20" ht="13.5" customHeight="1" x14ac:dyDescent="0.25">
      <c r="A390" s="307">
        <v>7</v>
      </c>
      <c r="B390" s="307"/>
      <c r="C390" s="170"/>
      <c r="D390" s="309"/>
      <c r="E390" s="170"/>
      <c r="F390" s="311"/>
      <c r="G390" s="313"/>
      <c r="H390" s="315"/>
      <c r="I390" s="8"/>
      <c r="J390" s="8"/>
      <c r="K390" s="8"/>
      <c r="L390" s="8"/>
      <c r="M390" s="8"/>
      <c r="N390" s="8"/>
      <c r="O390" s="8"/>
      <c r="P390" s="8"/>
      <c r="Q390" s="8"/>
      <c r="R390" s="8"/>
      <c r="S390" s="8"/>
      <c r="T390" s="82"/>
    </row>
    <row r="391" spans="1:20" ht="13.5" customHeight="1" x14ac:dyDescent="0.25">
      <c r="A391" s="308"/>
      <c r="B391" s="308"/>
      <c r="C391" s="179" t="str">
        <f>IFERROR(VLOOKUP(C390,Списки!$E:$F,2,0)," ")</f>
        <v xml:space="preserve"> </v>
      </c>
      <c r="D391" s="310"/>
      <c r="E391" s="171" t="str">
        <f>IFERROR(VLOOKUP(E390,Списки!$E:$F,2,0)," ")</f>
        <v xml:space="preserve"> </v>
      </c>
      <c r="F391" s="312"/>
      <c r="G391" s="314"/>
      <c r="H391" s="315"/>
      <c r="I391" s="8"/>
      <c r="J391" s="8"/>
      <c r="K391" s="8"/>
      <c r="L391" s="8"/>
      <c r="M391" s="8"/>
      <c r="N391" s="8"/>
      <c r="O391" s="8"/>
      <c r="P391" s="8"/>
      <c r="Q391" s="8"/>
      <c r="R391" s="8"/>
      <c r="S391" s="8"/>
      <c r="T391" s="82"/>
    </row>
    <row r="392" spans="1:20" ht="13.5" customHeight="1" x14ac:dyDescent="0.25">
      <c r="A392" s="307">
        <v>8</v>
      </c>
      <c r="B392" s="307"/>
      <c r="C392" s="170"/>
      <c r="D392" s="309"/>
      <c r="E392" s="170"/>
      <c r="F392" s="311"/>
      <c r="G392" s="313"/>
      <c r="H392" s="315"/>
      <c r="I392" s="8"/>
      <c r="J392" s="8"/>
      <c r="K392" s="8"/>
      <c r="L392" s="8"/>
      <c r="M392" s="8"/>
      <c r="N392" s="8"/>
      <c r="O392" s="8"/>
      <c r="P392" s="8"/>
      <c r="Q392" s="8"/>
      <c r="R392" s="8"/>
      <c r="S392" s="8"/>
      <c r="T392" s="82"/>
    </row>
    <row r="393" spans="1:20" ht="13.5" customHeight="1" x14ac:dyDescent="0.25">
      <c r="A393" s="308"/>
      <c r="B393" s="308"/>
      <c r="C393" s="179" t="str">
        <f>IFERROR(VLOOKUP(C392,Списки!$E:$F,2,0)," ")</f>
        <v xml:space="preserve"> </v>
      </c>
      <c r="D393" s="310"/>
      <c r="E393" s="171" t="str">
        <f>IFERROR(VLOOKUP(E392,Списки!$E:$F,2,0)," ")</f>
        <v xml:space="preserve"> </v>
      </c>
      <c r="F393" s="312"/>
      <c r="G393" s="314"/>
      <c r="H393" s="315"/>
      <c r="I393" s="8"/>
      <c r="J393" s="8"/>
      <c r="K393" s="8"/>
      <c r="L393" s="8"/>
      <c r="M393" s="8"/>
      <c r="N393" s="8"/>
      <c r="O393" s="8"/>
      <c r="P393" s="8"/>
      <c r="Q393" s="8"/>
      <c r="R393" s="8"/>
      <c r="S393" s="8"/>
      <c r="T393" s="82"/>
    </row>
    <row r="394" spans="1:20" ht="13.5" customHeight="1" x14ac:dyDescent="0.25">
      <c r="A394" s="307">
        <v>9</v>
      </c>
      <c r="B394" s="307"/>
      <c r="C394" s="170"/>
      <c r="D394" s="309"/>
      <c r="E394" s="170"/>
      <c r="F394" s="311"/>
      <c r="G394" s="313"/>
      <c r="H394" s="315"/>
      <c r="I394" s="8"/>
      <c r="J394" s="8"/>
      <c r="K394" s="8"/>
      <c r="L394" s="8"/>
      <c r="M394" s="8"/>
      <c r="N394" s="8"/>
      <c r="O394" s="8"/>
      <c r="P394" s="8"/>
      <c r="Q394" s="8"/>
      <c r="R394" s="8"/>
      <c r="S394" s="8"/>
      <c r="T394" s="82"/>
    </row>
    <row r="395" spans="1:20" ht="13.5" customHeight="1" x14ac:dyDescent="0.25">
      <c r="A395" s="308"/>
      <c r="B395" s="308"/>
      <c r="C395" s="171" t="str">
        <f>IFERROR(VLOOKUP(C394,Списки!$E:$F,2,0)," ")</f>
        <v xml:space="preserve"> </v>
      </c>
      <c r="D395" s="310"/>
      <c r="E395" s="171" t="str">
        <f>IFERROR(VLOOKUP(E394,Списки!$E:$F,2,0)," ")</f>
        <v xml:space="preserve"> </v>
      </c>
      <c r="F395" s="312"/>
      <c r="G395" s="314"/>
      <c r="H395" s="315"/>
      <c r="I395" s="8"/>
      <c r="J395" s="8"/>
      <c r="K395" s="8"/>
      <c r="L395" s="8"/>
      <c r="M395" s="8"/>
      <c r="N395" s="8"/>
      <c r="O395" s="8"/>
      <c r="P395" s="8"/>
      <c r="Q395" s="8"/>
      <c r="R395" s="8"/>
      <c r="S395" s="8"/>
      <c r="T395" s="82"/>
    </row>
    <row r="396" spans="1:20" ht="13.5" customHeight="1" x14ac:dyDescent="0.25">
      <c r="A396" s="307">
        <v>10</v>
      </c>
      <c r="B396" s="307"/>
      <c r="C396" s="170"/>
      <c r="D396" s="309"/>
      <c r="E396" s="170"/>
      <c r="F396" s="311"/>
      <c r="G396" s="313"/>
      <c r="H396" s="315"/>
      <c r="I396" s="8"/>
      <c r="J396" s="8"/>
      <c r="K396" s="8"/>
      <c r="L396" s="8"/>
      <c r="M396" s="8"/>
      <c r="N396" s="8"/>
      <c r="O396" s="8"/>
      <c r="P396" s="8"/>
      <c r="Q396" s="8"/>
      <c r="R396" s="8"/>
      <c r="S396" s="8"/>
      <c r="T396" s="82"/>
    </row>
    <row r="397" spans="1:20" ht="13.5" customHeight="1" x14ac:dyDescent="0.25">
      <c r="A397" s="308"/>
      <c r="B397" s="308"/>
      <c r="C397" s="171" t="str">
        <f>IFERROR(VLOOKUP(C396,Списки!$E:$F,2,0)," ")</f>
        <v xml:space="preserve"> </v>
      </c>
      <c r="D397" s="310"/>
      <c r="E397" s="171" t="str">
        <f>IFERROR(VLOOKUP(E396,Списки!$E:$F,2,0)," ")</f>
        <v xml:space="preserve"> </v>
      </c>
      <c r="F397" s="312"/>
      <c r="G397" s="314"/>
      <c r="H397" s="315"/>
      <c r="I397" s="8"/>
      <c r="J397" s="8"/>
      <c r="K397" s="8"/>
      <c r="L397" s="8"/>
      <c r="M397" s="8"/>
      <c r="N397" s="8"/>
      <c r="O397" s="8"/>
      <c r="P397" s="8"/>
      <c r="Q397" s="8"/>
      <c r="R397" s="8"/>
      <c r="S397" s="8"/>
      <c r="T397" s="82"/>
    </row>
    <row r="398" spans="1:20" ht="13.5" customHeight="1" x14ac:dyDescent="0.25">
      <c r="A398" s="307">
        <v>11</v>
      </c>
      <c r="B398" s="307"/>
      <c r="C398" s="170"/>
      <c r="D398" s="309"/>
      <c r="E398" s="170"/>
      <c r="F398" s="311"/>
      <c r="G398" s="313"/>
      <c r="H398" s="315"/>
      <c r="I398" s="8"/>
      <c r="J398" s="8"/>
      <c r="K398" s="8"/>
      <c r="L398" s="8"/>
      <c r="M398" s="8"/>
      <c r="N398" s="8"/>
      <c r="O398" s="8"/>
      <c r="P398" s="8"/>
      <c r="Q398" s="8"/>
      <c r="R398" s="8"/>
      <c r="S398" s="8"/>
      <c r="T398" s="82"/>
    </row>
    <row r="399" spans="1:20" ht="13.5" customHeight="1" x14ac:dyDescent="0.25">
      <c r="A399" s="308"/>
      <c r="B399" s="308"/>
      <c r="C399" s="171" t="str">
        <f>IFERROR(VLOOKUP(C398,Списки!$E:$F,2,0)," ")</f>
        <v xml:space="preserve"> </v>
      </c>
      <c r="D399" s="310"/>
      <c r="E399" s="171" t="str">
        <f>IFERROR(VLOOKUP(E398,Списки!$E:$F,2,0)," ")</f>
        <v xml:space="preserve"> </v>
      </c>
      <c r="F399" s="312"/>
      <c r="G399" s="314"/>
      <c r="H399" s="315"/>
      <c r="I399" s="8"/>
      <c r="J399" s="8"/>
      <c r="K399" s="8"/>
      <c r="L399" s="8"/>
      <c r="M399" s="8"/>
      <c r="N399" s="8"/>
      <c r="O399" s="8"/>
      <c r="P399" s="8"/>
      <c r="Q399" s="8"/>
      <c r="R399" s="8"/>
      <c r="S399" s="8"/>
      <c r="T399" s="82"/>
    </row>
    <row r="400" spans="1:20" ht="13.5" customHeight="1" x14ac:dyDescent="0.25">
      <c r="A400" s="307">
        <v>12</v>
      </c>
      <c r="B400" s="307"/>
      <c r="C400" s="170"/>
      <c r="D400" s="309"/>
      <c r="E400" s="170"/>
      <c r="F400" s="311"/>
      <c r="G400" s="313"/>
      <c r="H400" s="315"/>
      <c r="I400" s="8"/>
      <c r="J400" s="8"/>
      <c r="K400" s="8"/>
      <c r="L400" s="8"/>
      <c r="M400" s="8"/>
      <c r="N400" s="8"/>
      <c r="O400" s="8"/>
      <c r="P400" s="8"/>
      <c r="Q400" s="8"/>
      <c r="R400" s="8"/>
      <c r="S400" s="8"/>
      <c r="T400" s="82"/>
    </row>
    <row r="401" spans="1:20" ht="13.5" customHeight="1" x14ac:dyDescent="0.25">
      <c r="A401" s="308"/>
      <c r="B401" s="308"/>
      <c r="C401" s="171" t="str">
        <f>IFERROR(VLOOKUP(C400,Списки!$E:$F,2,0)," ")</f>
        <v xml:space="preserve"> </v>
      </c>
      <c r="D401" s="310"/>
      <c r="E401" s="171" t="str">
        <f>IFERROR(VLOOKUP(E400,Списки!$E:$F,2,0)," ")</f>
        <v xml:space="preserve"> </v>
      </c>
      <c r="F401" s="312"/>
      <c r="G401" s="314"/>
      <c r="H401" s="315"/>
      <c r="I401" s="8"/>
      <c r="J401" s="8"/>
      <c r="K401" s="8"/>
      <c r="L401" s="8"/>
      <c r="M401" s="8"/>
      <c r="N401" s="8"/>
      <c r="O401" s="8"/>
      <c r="P401" s="8"/>
      <c r="Q401" s="8"/>
      <c r="R401" s="8"/>
      <c r="S401" s="8"/>
      <c r="T401" s="82"/>
    </row>
    <row r="402" spans="1:20" ht="13.5" customHeight="1" x14ac:dyDescent="0.25">
      <c r="A402" s="307">
        <v>13</v>
      </c>
      <c r="B402" s="307"/>
      <c r="C402" s="170"/>
      <c r="D402" s="309"/>
      <c r="E402" s="170"/>
      <c r="F402" s="311"/>
      <c r="G402" s="313"/>
      <c r="H402" s="315"/>
      <c r="I402" s="8"/>
      <c r="J402" s="8"/>
      <c r="K402" s="8"/>
      <c r="L402" s="8"/>
      <c r="M402" s="8"/>
      <c r="N402" s="8"/>
      <c r="O402" s="8"/>
      <c r="P402" s="8"/>
      <c r="Q402" s="8"/>
      <c r="R402" s="8"/>
      <c r="S402" s="8"/>
      <c r="T402" s="82"/>
    </row>
    <row r="403" spans="1:20" ht="13.5" customHeight="1" x14ac:dyDescent="0.25">
      <c r="A403" s="308"/>
      <c r="B403" s="308"/>
      <c r="C403" s="171" t="str">
        <f>IFERROR(VLOOKUP(C402,Списки!$E:$F,2,0)," ")</f>
        <v xml:space="preserve"> </v>
      </c>
      <c r="D403" s="310"/>
      <c r="E403" s="171" t="str">
        <f>IFERROR(VLOOKUP(E402,Списки!$E:$F,2,0)," ")</f>
        <v xml:space="preserve"> </v>
      </c>
      <c r="F403" s="312"/>
      <c r="G403" s="314"/>
      <c r="H403" s="315"/>
      <c r="I403" s="8"/>
      <c r="J403" s="8"/>
      <c r="K403" s="8"/>
      <c r="L403" s="8"/>
      <c r="M403" s="8"/>
      <c r="N403" s="8"/>
      <c r="O403" s="8"/>
      <c r="P403" s="8"/>
      <c r="Q403" s="8"/>
      <c r="R403" s="8"/>
      <c r="S403" s="8"/>
      <c r="T403" s="82"/>
    </row>
    <row r="404" spans="1:20" ht="13.5" customHeight="1" x14ac:dyDescent="0.25">
      <c r="A404" s="307">
        <v>14</v>
      </c>
      <c r="B404" s="307"/>
      <c r="C404" s="170"/>
      <c r="D404" s="309"/>
      <c r="E404" s="170"/>
      <c r="F404" s="311"/>
      <c r="G404" s="313"/>
      <c r="H404" s="315"/>
      <c r="I404" s="8"/>
      <c r="J404" s="8"/>
      <c r="K404" s="8"/>
      <c r="L404" s="8"/>
      <c r="M404" s="8"/>
      <c r="N404" s="8"/>
      <c r="O404" s="8"/>
      <c r="P404" s="8"/>
      <c r="Q404" s="8"/>
      <c r="R404" s="8"/>
      <c r="S404" s="8"/>
      <c r="T404" s="82"/>
    </row>
    <row r="405" spans="1:20" ht="13.5" customHeight="1" x14ac:dyDescent="0.25">
      <c r="A405" s="308"/>
      <c r="B405" s="308"/>
      <c r="C405" s="171" t="str">
        <f>IFERROR(VLOOKUP(C404,Списки!$E:$F,2,0)," ")</f>
        <v xml:space="preserve"> </v>
      </c>
      <c r="D405" s="310"/>
      <c r="E405" s="171" t="str">
        <f>IFERROR(VLOOKUP(E404,Списки!$E:$F,2,0)," ")</f>
        <v xml:space="preserve"> </v>
      </c>
      <c r="F405" s="312"/>
      <c r="G405" s="314"/>
      <c r="H405" s="315"/>
      <c r="I405" s="8"/>
      <c r="J405" s="8"/>
      <c r="K405" s="8"/>
      <c r="L405" s="8"/>
      <c r="M405" s="8"/>
      <c r="N405" s="8"/>
      <c r="O405" s="8"/>
      <c r="P405" s="8"/>
      <c r="Q405" s="8"/>
      <c r="R405" s="8"/>
      <c r="S405" s="8"/>
      <c r="T405" s="82"/>
    </row>
    <row r="406" spans="1:20" ht="13.5" customHeight="1" x14ac:dyDescent="0.25">
      <c r="A406" s="307">
        <v>15</v>
      </c>
      <c r="B406" s="307"/>
      <c r="C406" s="170"/>
      <c r="D406" s="309"/>
      <c r="E406" s="170"/>
      <c r="F406" s="311"/>
      <c r="G406" s="313"/>
      <c r="H406" s="315"/>
      <c r="I406" s="8"/>
      <c r="J406" s="8"/>
      <c r="K406" s="8"/>
      <c r="L406" s="8"/>
      <c r="M406" s="8"/>
      <c r="N406" s="8"/>
      <c r="O406" s="8"/>
      <c r="P406" s="8"/>
      <c r="Q406" s="8"/>
      <c r="R406" s="8"/>
      <c r="S406" s="8"/>
      <c r="T406" s="82"/>
    </row>
    <row r="407" spans="1:20" ht="13.5" customHeight="1" x14ac:dyDescent="0.25">
      <c r="A407" s="308"/>
      <c r="B407" s="308"/>
      <c r="C407" s="171" t="str">
        <f>IFERROR(VLOOKUP(C406,Списки!$E:$F,2,0)," ")</f>
        <v xml:space="preserve"> </v>
      </c>
      <c r="D407" s="310"/>
      <c r="E407" s="171" t="str">
        <f>IFERROR(VLOOKUP(E406,Списки!$E:$F,2,0)," ")</f>
        <v xml:space="preserve"> </v>
      </c>
      <c r="F407" s="312"/>
      <c r="G407" s="314"/>
      <c r="H407" s="315"/>
      <c r="I407" s="8"/>
      <c r="J407" s="8"/>
      <c r="K407" s="8"/>
      <c r="L407" s="8"/>
      <c r="M407" s="8"/>
      <c r="N407" s="8"/>
      <c r="O407" s="8"/>
      <c r="P407" s="8"/>
      <c r="Q407" s="8"/>
      <c r="R407" s="8"/>
      <c r="S407" s="8"/>
      <c r="T407" s="82"/>
    </row>
    <row r="408" spans="1:20" x14ac:dyDescent="0.25">
      <c r="A408" s="36"/>
      <c r="B408" s="37"/>
      <c r="C408" s="173"/>
      <c r="D408" s="173"/>
      <c r="E408" s="174" t="s">
        <v>30</v>
      </c>
      <c r="F408" s="39">
        <f>IFERROR(SUM(IFERROR(IF((LOOKUP(9E+307,F378:F407))&gt;$M$39,(LOOKUP(9E+307,F378:F407))-$M$39,IF((LOOKUP(9E+307,F378:F407))&lt;0.166666667,0+(LOOKUP(9E+307,F378:F407))+1-$M$39,0)),0),(IF(AND(IF(D378,$M$38-D378,0)&gt;0,F378,F378&gt;D378),$M$38-D378,IF(AND(D378,F378,D378&gt;F378),"error",0)))),"ОШИБКА")</f>
        <v>0</v>
      </c>
      <c r="G408" s="40" t="s">
        <v>27</v>
      </c>
      <c r="H408" s="38">
        <f>SUM(H378:H407)</f>
        <v>0</v>
      </c>
      <c r="I408" s="8"/>
      <c r="J408" s="8"/>
      <c r="K408" s="8"/>
      <c r="L408" s="8"/>
      <c r="M408" s="8"/>
      <c r="N408" s="8"/>
      <c r="O408" s="8"/>
      <c r="P408" s="8"/>
      <c r="Q408" s="8"/>
      <c r="R408" s="8"/>
      <c r="S408" s="8"/>
      <c r="T408" s="82"/>
    </row>
    <row r="409" spans="1:20" ht="15.75" x14ac:dyDescent="0.25">
      <c r="A409" s="316">
        <f>DATE(K1,J1,13)</f>
        <v>43843</v>
      </c>
      <c r="B409" s="316"/>
      <c r="C409" s="316"/>
      <c r="D409" s="316"/>
      <c r="E409" s="316"/>
      <c r="F409" s="316"/>
      <c r="G409" s="316"/>
      <c r="H409" s="316"/>
      <c r="I409" s="8"/>
      <c r="J409" s="8"/>
      <c r="K409" s="8"/>
      <c r="L409" s="8"/>
      <c r="M409" s="8"/>
      <c r="N409" s="8"/>
      <c r="O409" s="8"/>
      <c r="P409" s="8"/>
      <c r="Q409" s="8"/>
      <c r="R409" s="8"/>
      <c r="S409" s="8"/>
      <c r="T409" s="82"/>
    </row>
    <row r="410" spans="1:20" ht="13.5" customHeight="1" x14ac:dyDescent="0.25">
      <c r="A410" s="318"/>
      <c r="B410" s="320" t="s">
        <v>34</v>
      </c>
      <c r="C410" s="175" t="s">
        <v>39</v>
      </c>
      <c r="D410" s="322" t="s">
        <v>36</v>
      </c>
      <c r="E410" s="175" t="s">
        <v>37</v>
      </c>
      <c r="F410" s="320" t="s">
        <v>36</v>
      </c>
      <c r="G410" s="324" t="s">
        <v>35</v>
      </c>
      <c r="H410" s="315" t="s">
        <v>40</v>
      </c>
      <c r="I410" s="8"/>
      <c r="J410" s="8"/>
      <c r="K410" s="8"/>
      <c r="L410" s="8"/>
      <c r="M410" s="8"/>
      <c r="N410" s="8"/>
      <c r="O410" s="8"/>
      <c r="P410" s="8"/>
      <c r="Q410" s="8"/>
      <c r="R410" s="8"/>
      <c r="S410" s="8"/>
      <c r="T410" s="82"/>
    </row>
    <row r="411" spans="1:20" ht="13.5" customHeight="1" x14ac:dyDescent="0.25">
      <c r="A411" s="319"/>
      <c r="B411" s="321"/>
      <c r="C411" s="169" t="s">
        <v>38</v>
      </c>
      <c r="D411" s="323"/>
      <c r="E411" s="169" t="s">
        <v>38</v>
      </c>
      <c r="F411" s="321"/>
      <c r="G411" s="325"/>
      <c r="H411" s="315"/>
      <c r="I411" s="8"/>
      <c r="J411" s="8"/>
      <c r="K411" s="8"/>
      <c r="L411" s="8"/>
      <c r="M411" s="8"/>
      <c r="N411" s="8"/>
      <c r="O411" s="8"/>
      <c r="P411" s="8"/>
      <c r="Q411" s="8"/>
      <c r="R411" s="8"/>
      <c r="S411" s="8"/>
      <c r="T411" s="82"/>
    </row>
    <row r="412" spans="1:20" ht="13.5" customHeight="1" x14ac:dyDescent="0.25">
      <c r="A412" s="307">
        <v>1</v>
      </c>
      <c r="B412" s="307"/>
      <c r="C412" s="170" t="s">
        <v>43</v>
      </c>
      <c r="D412" s="309"/>
      <c r="E412" s="170" t="s">
        <v>44</v>
      </c>
      <c r="F412" s="311"/>
      <c r="G412" s="313"/>
      <c r="H412" s="315"/>
      <c r="I412" s="8"/>
      <c r="J412" s="8"/>
      <c r="K412" s="8"/>
      <c r="L412" s="8"/>
      <c r="M412" s="8"/>
      <c r="N412" s="8"/>
      <c r="O412" s="8"/>
      <c r="P412" s="8"/>
      <c r="Q412" s="8"/>
      <c r="R412" s="8"/>
      <c r="S412" s="8"/>
      <c r="T412" s="82"/>
    </row>
    <row r="413" spans="1:20" ht="13.5" customHeight="1" x14ac:dyDescent="0.25">
      <c r="A413" s="308"/>
      <c r="B413" s="308"/>
      <c r="C413" s="171" t="str">
        <f>IFERROR(VLOOKUP(C412,Списки!$E:$F,2,0)," ")</f>
        <v>SAVUSHKINA ST 128</v>
      </c>
      <c r="D413" s="310"/>
      <c r="E413" s="171" t="str">
        <f>IFERROR(VLOOKUP(E412,Списки!$E:$F,2,0)," ")</f>
        <v>LEVASHOVSKOE HWY 20</v>
      </c>
      <c r="F413" s="312"/>
      <c r="G413" s="314"/>
      <c r="H413" s="315"/>
      <c r="I413" s="8"/>
      <c r="J413" s="8"/>
      <c r="K413" s="8"/>
      <c r="L413" s="8"/>
      <c r="M413" s="8"/>
      <c r="N413" s="8"/>
      <c r="O413" s="8"/>
      <c r="P413" s="8"/>
      <c r="Q413" s="8"/>
      <c r="R413" s="8"/>
      <c r="S413" s="8"/>
      <c r="T413" s="82"/>
    </row>
    <row r="414" spans="1:20" ht="13.5" customHeight="1" x14ac:dyDescent="0.25">
      <c r="A414" s="307">
        <v>2</v>
      </c>
      <c r="B414" s="307"/>
      <c r="C414" s="170" t="s">
        <v>44</v>
      </c>
      <c r="D414" s="309"/>
      <c r="E414" s="170"/>
      <c r="F414" s="311"/>
      <c r="G414" s="313"/>
      <c r="H414" s="315"/>
      <c r="I414" s="8"/>
      <c r="J414" s="8"/>
      <c r="K414" s="8"/>
      <c r="L414" s="8"/>
      <c r="M414" s="8"/>
      <c r="N414" s="8"/>
      <c r="O414" s="8"/>
      <c r="P414" s="8"/>
      <c r="Q414" s="8"/>
      <c r="R414" s="8"/>
      <c r="S414" s="8"/>
      <c r="T414" s="82"/>
    </row>
    <row r="415" spans="1:20" ht="13.5" customHeight="1" x14ac:dyDescent="0.25">
      <c r="A415" s="308"/>
      <c r="B415" s="308"/>
      <c r="C415" s="171" t="str">
        <f>IFERROR(VLOOKUP(C414,Списки!$E:$F,2,0)," ")</f>
        <v>LEVASHOVSKOE HWY 20</v>
      </c>
      <c r="D415" s="310"/>
      <c r="E415" s="171" t="str">
        <f>IFERROR(VLOOKUP(E414,Списки!$E:$F,2,0)," ")</f>
        <v xml:space="preserve"> </v>
      </c>
      <c r="F415" s="312"/>
      <c r="G415" s="314"/>
      <c r="H415" s="315"/>
      <c r="I415" s="8"/>
      <c r="J415" s="8"/>
      <c r="K415" s="8"/>
      <c r="L415" s="8"/>
      <c r="M415" s="8"/>
      <c r="N415" s="8"/>
      <c r="O415" s="8"/>
      <c r="P415" s="8"/>
      <c r="Q415" s="8"/>
      <c r="R415" s="8"/>
      <c r="S415" s="8"/>
      <c r="T415" s="82"/>
    </row>
    <row r="416" spans="1:20" ht="13.5" customHeight="1" x14ac:dyDescent="0.25">
      <c r="A416" s="307">
        <v>3</v>
      </c>
      <c r="B416" s="307"/>
      <c r="C416" s="170"/>
      <c r="D416" s="309"/>
      <c r="E416" s="170"/>
      <c r="F416" s="311"/>
      <c r="G416" s="313"/>
      <c r="H416" s="315"/>
      <c r="I416" s="8"/>
      <c r="J416" s="8"/>
      <c r="K416" s="8"/>
      <c r="L416" s="8"/>
      <c r="M416" s="8"/>
      <c r="N416" s="8"/>
      <c r="O416" s="8"/>
      <c r="P416" s="8"/>
      <c r="Q416" s="8"/>
      <c r="R416" s="8"/>
      <c r="S416" s="8"/>
      <c r="T416" s="82"/>
    </row>
    <row r="417" spans="1:20" ht="13.5" customHeight="1" x14ac:dyDescent="0.25">
      <c r="A417" s="308"/>
      <c r="B417" s="308"/>
      <c r="C417" s="171" t="str">
        <f>IFERROR(VLOOKUP(C416,Списки!$E:$F,2,0)," ")</f>
        <v xml:space="preserve"> </v>
      </c>
      <c r="D417" s="310"/>
      <c r="E417" s="171" t="str">
        <f>IFERROR(VLOOKUP(E416,Списки!$E:$F,2,0)," ")</f>
        <v xml:space="preserve"> </v>
      </c>
      <c r="F417" s="312"/>
      <c r="G417" s="314"/>
      <c r="H417" s="315"/>
      <c r="I417" s="8"/>
      <c r="J417" s="8"/>
      <c r="K417" s="8"/>
      <c r="L417" s="8"/>
      <c r="M417" s="8"/>
      <c r="N417" s="8"/>
      <c r="O417" s="8"/>
      <c r="P417" s="8"/>
      <c r="Q417" s="8"/>
      <c r="R417" s="8"/>
      <c r="S417" s="8"/>
      <c r="T417" s="82"/>
    </row>
    <row r="418" spans="1:20" ht="13.5" customHeight="1" x14ac:dyDescent="0.25">
      <c r="A418" s="307">
        <v>4</v>
      </c>
      <c r="B418" s="307"/>
      <c r="C418" s="170"/>
      <c r="D418" s="309"/>
      <c r="E418" s="170"/>
      <c r="F418" s="311"/>
      <c r="G418" s="313"/>
      <c r="H418" s="315"/>
      <c r="I418" s="8"/>
      <c r="J418" s="8"/>
      <c r="K418" s="8"/>
      <c r="L418" s="8"/>
      <c r="M418" s="8"/>
      <c r="N418" s="8"/>
      <c r="O418" s="8"/>
      <c r="P418" s="8"/>
      <c r="Q418" s="8"/>
      <c r="R418" s="8"/>
      <c r="S418" s="8"/>
      <c r="T418" s="82"/>
    </row>
    <row r="419" spans="1:20" ht="13.5" customHeight="1" x14ac:dyDescent="0.25">
      <c r="A419" s="308"/>
      <c r="B419" s="308"/>
      <c r="C419" s="171" t="str">
        <f>IFERROR(VLOOKUP(C418,Списки!$E:$F,2,0)," ")</f>
        <v xml:space="preserve"> </v>
      </c>
      <c r="D419" s="310"/>
      <c r="E419" s="171" t="str">
        <f>IFERROR(VLOOKUP(E418,Списки!$E:$F,2,0)," ")</f>
        <v xml:space="preserve"> </v>
      </c>
      <c r="F419" s="312"/>
      <c r="G419" s="314"/>
      <c r="H419" s="315"/>
      <c r="I419" s="8"/>
      <c r="J419" s="8"/>
      <c r="K419" s="8"/>
      <c r="L419" s="8"/>
      <c r="M419" s="8"/>
      <c r="N419" s="8"/>
      <c r="O419" s="8"/>
      <c r="P419" s="8"/>
      <c r="Q419" s="8"/>
      <c r="R419" s="8"/>
      <c r="S419" s="8"/>
      <c r="T419" s="82"/>
    </row>
    <row r="420" spans="1:20" ht="13.5" customHeight="1" x14ac:dyDescent="0.25">
      <c r="A420" s="307">
        <v>5</v>
      </c>
      <c r="B420" s="307"/>
      <c r="C420" s="170"/>
      <c r="D420" s="309"/>
      <c r="E420" s="172"/>
      <c r="F420" s="311"/>
      <c r="G420" s="313"/>
      <c r="H420" s="315"/>
      <c r="I420" s="8"/>
      <c r="J420" s="8"/>
      <c r="K420" s="8"/>
      <c r="L420" s="8"/>
      <c r="M420" s="8"/>
      <c r="N420" s="8"/>
      <c r="O420" s="8"/>
      <c r="P420" s="8"/>
      <c r="Q420" s="8"/>
      <c r="R420" s="8"/>
      <c r="S420" s="8"/>
      <c r="T420" s="82"/>
    </row>
    <row r="421" spans="1:20" ht="13.5" customHeight="1" x14ac:dyDescent="0.25">
      <c r="A421" s="308"/>
      <c r="B421" s="308"/>
      <c r="C421" s="171" t="str">
        <f>IFERROR(VLOOKUP(C420,Списки!$E:$F,2,0)," ")</f>
        <v xml:space="preserve"> </v>
      </c>
      <c r="D421" s="310"/>
      <c r="E421" s="172" t="str">
        <f>IFERROR(VLOOKUP(E420,Списки!$E:$F,2,0)," ")</f>
        <v xml:space="preserve"> </v>
      </c>
      <c r="F421" s="312"/>
      <c r="G421" s="314"/>
      <c r="H421" s="315"/>
      <c r="I421" s="8"/>
      <c r="J421" s="8"/>
      <c r="K421" s="8"/>
      <c r="L421" s="8"/>
      <c r="M421" s="8"/>
      <c r="N421" s="8"/>
      <c r="O421" s="8"/>
      <c r="P421" s="8"/>
      <c r="Q421" s="8"/>
      <c r="R421" s="8"/>
      <c r="S421" s="8"/>
      <c r="T421" s="82"/>
    </row>
    <row r="422" spans="1:20" ht="13.5" customHeight="1" x14ac:dyDescent="0.25">
      <c r="A422" s="307">
        <v>6</v>
      </c>
      <c r="B422" s="307"/>
      <c r="C422" s="170"/>
      <c r="D422" s="309"/>
      <c r="E422" s="170"/>
      <c r="F422" s="311"/>
      <c r="G422" s="313"/>
      <c r="H422" s="315"/>
      <c r="I422" s="8"/>
      <c r="J422" s="8"/>
      <c r="K422" s="8"/>
      <c r="L422" s="8"/>
      <c r="M422" s="8"/>
      <c r="N422" s="8"/>
      <c r="O422" s="8"/>
      <c r="P422" s="8"/>
      <c r="Q422" s="8"/>
      <c r="R422" s="8"/>
      <c r="S422" s="8"/>
      <c r="T422" s="82"/>
    </row>
    <row r="423" spans="1:20" ht="13.5" customHeight="1" x14ac:dyDescent="0.25">
      <c r="A423" s="308"/>
      <c r="B423" s="308"/>
      <c r="C423" s="171" t="str">
        <f>IFERROR(VLOOKUP(C422,Списки!$E:$F,2,0)," ")</f>
        <v xml:space="preserve"> </v>
      </c>
      <c r="D423" s="310"/>
      <c r="E423" s="179" t="str">
        <f>IFERROR(VLOOKUP(E422,Списки!$E:$F,2,0)," ")</f>
        <v xml:space="preserve"> </v>
      </c>
      <c r="F423" s="312"/>
      <c r="G423" s="314"/>
      <c r="H423" s="315"/>
      <c r="I423" s="8"/>
      <c r="J423" s="8"/>
      <c r="K423" s="8"/>
      <c r="L423" s="8"/>
      <c r="M423" s="8"/>
      <c r="N423" s="8"/>
      <c r="O423" s="8"/>
      <c r="P423" s="8"/>
      <c r="Q423" s="8"/>
      <c r="R423" s="8"/>
      <c r="S423" s="8"/>
      <c r="T423" s="82"/>
    </row>
    <row r="424" spans="1:20" ht="13.5" customHeight="1" x14ac:dyDescent="0.25">
      <c r="A424" s="307">
        <v>7</v>
      </c>
      <c r="B424" s="307"/>
      <c r="C424" s="170"/>
      <c r="D424" s="309"/>
      <c r="E424" s="170"/>
      <c r="F424" s="311"/>
      <c r="G424" s="313"/>
      <c r="H424" s="315"/>
      <c r="I424" s="8"/>
      <c r="J424" s="8"/>
      <c r="K424" s="8"/>
      <c r="L424" s="8"/>
      <c r="M424" s="8"/>
      <c r="N424" s="8"/>
      <c r="O424" s="8"/>
      <c r="P424" s="8"/>
      <c r="Q424" s="8"/>
      <c r="R424" s="8"/>
      <c r="S424" s="8"/>
      <c r="T424" s="82"/>
    </row>
    <row r="425" spans="1:20" ht="13.5" customHeight="1" x14ac:dyDescent="0.25">
      <c r="A425" s="308"/>
      <c r="B425" s="308"/>
      <c r="C425" s="179" t="str">
        <f>IFERROR(VLOOKUP(C424,Списки!$E:$F,2,0)," ")</f>
        <v xml:space="preserve"> </v>
      </c>
      <c r="D425" s="310"/>
      <c r="E425" s="171" t="str">
        <f>IFERROR(VLOOKUP(E424,Списки!$E:$F,2,0)," ")</f>
        <v xml:space="preserve"> </v>
      </c>
      <c r="F425" s="312"/>
      <c r="G425" s="314"/>
      <c r="H425" s="315"/>
      <c r="I425" s="8"/>
      <c r="J425" s="8"/>
      <c r="K425" s="8"/>
      <c r="L425" s="8"/>
      <c r="M425" s="8"/>
      <c r="N425" s="8"/>
      <c r="O425" s="8"/>
      <c r="P425" s="8"/>
      <c r="Q425" s="8"/>
      <c r="R425" s="8"/>
      <c r="S425" s="8"/>
      <c r="T425" s="82"/>
    </row>
    <row r="426" spans="1:20" ht="13.5" customHeight="1" x14ac:dyDescent="0.25">
      <c r="A426" s="307">
        <v>8</v>
      </c>
      <c r="B426" s="307"/>
      <c r="C426" s="170"/>
      <c r="D426" s="309"/>
      <c r="E426" s="170"/>
      <c r="F426" s="311"/>
      <c r="G426" s="313"/>
      <c r="H426" s="315"/>
      <c r="I426" s="8"/>
      <c r="J426" s="8"/>
      <c r="K426" s="8"/>
      <c r="L426" s="8"/>
      <c r="M426" s="8"/>
      <c r="N426" s="8"/>
      <c r="O426" s="8"/>
      <c r="P426" s="8"/>
      <c r="Q426" s="8"/>
      <c r="R426" s="8"/>
      <c r="S426" s="8"/>
      <c r="T426" s="82"/>
    </row>
    <row r="427" spans="1:20" ht="13.5" customHeight="1" x14ac:dyDescent="0.25">
      <c r="A427" s="308"/>
      <c r="B427" s="308"/>
      <c r="C427" s="179" t="str">
        <f>IFERROR(VLOOKUP(C426,Списки!$E:$F,2,0)," ")</f>
        <v xml:space="preserve"> </v>
      </c>
      <c r="D427" s="310"/>
      <c r="E427" s="171" t="str">
        <f>IFERROR(VLOOKUP(E426,Списки!$E:$F,2,0)," ")</f>
        <v xml:space="preserve"> </v>
      </c>
      <c r="F427" s="312"/>
      <c r="G427" s="314"/>
      <c r="H427" s="315"/>
      <c r="I427" s="8"/>
      <c r="J427" s="8"/>
      <c r="K427" s="8"/>
      <c r="L427" s="8"/>
      <c r="M427" s="8"/>
      <c r="N427" s="8"/>
      <c r="O427" s="8"/>
      <c r="P427" s="8"/>
      <c r="Q427" s="8"/>
      <c r="R427" s="8"/>
      <c r="S427" s="8"/>
      <c r="T427" s="82"/>
    </row>
    <row r="428" spans="1:20" ht="13.5" customHeight="1" x14ac:dyDescent="0.25">
      <c r="A428" s="307">
        <v>9</v>
      </c>
      <c r="B428" s="307"/>
      <c r="C428" s="170"/>
      <c r="D428" s="309"/>
      <c r="E428" s="170"/>
      <c r="F428" s="311"/>
      <c r="G428" s="313"/>
      <c r="H428" s="315"/>
      <c r="I428" s="8"/>
      <c r="J428" s="8"/>
      <c r="K428" s="8"/>
      <c r="L428" s="8"/>
      <c r="M428" s="8"/>
      <c r="N428" s="8"/>
      <c r="O428" s="8"/>
      <c r="P428" s="8"/>
      <c r="Q428" s="8"/>
      <c r="R428" s="8"/>
      <c r="S428" s="8"/>
      <c r="T428" s="82"/>
    </row>
    <row r="429" spans="1:20" ht="13.5" customHeight="1" x14ac:dyDescent="0.25">
      <c r="A429" s="308"/>
      <c r="B429" s="308"/>
      <c r="C429" s="171" t="str">
        <f>IFERROR(VLOOKUP(C428,Списки!$E:$F,2,0)," ")</f>
        <v xml:space="preserve"> </v>
      </c>
      <c r="D429" s="310"/>
      <c r="E429" s="171" t="str">
        <f>IFERROR(VLOOKUP(E428,Списки!$E:$F,2,0)," ")</f>
        <v xml:space="preserve"> </v>
      </c>
      <c r="F429" s="312"/>
      <c r="G429" s="314"/>
      <c r="H429" s="315"/>
      <c r="I429" s="8"/>
      <c r="J429" s="8"/>
      <c r="K429" s="8"/>
      <c r="L429" s="8"/>
      <c r="M429" s="8"/>
      <c r="N429" s="8"/>
      <c r="O429" s="8"/>
      <c r="P429" s="8"/>
      <c r="Q429" s="8"/>
      <c r="R429" s="8"/>
      <c r="S429" s="8"/>
      <c r="T429" s="82"/>
    </row>
    <row r="430" spans="1:20" ht="13.5" customHeight="1" x14ac:dyDescent="0.25">
      <c r="A430" s="307">
        <v>10</v>
      </c>
      <c r="B430" s="307"/>
      <c r="C430" s="170"/>
      <c r="D430" s="309"/>
      <c r="E430" s="170"/>
      <c r="F430" s="311"/>
      <c r="G430" s="313"/>
      <c r="H430" s="315"/>
      <c r="I430" s="8"/>
      <c r="J430" s="8"/>
      <c r="K430" s="8"/>
      <c r="L430" s="8"/>
      <c r="M430" s="8"/>
      <c r="N430" s="8"/>
      <c r="O430" s="8"/>
      <c r="P430" s="8"/>
      <c r="Q430" s="8"/>
      <c r="R430" s="8"/>
      <c r="S430" s="8"/>
      <c r="T430" s="82"/>
    </row>
    <row r="431" spans="1:20" ht="13.5" customHeight="1" x14ac:dyDescent="0.25">
      <c r="A431" s="308"/>
      <c r="B431" s="308"/>
      <c r="C431" s="171" t="str">
        <f>IFERROR(VLOOKUP(C430,Списки!$E:$F,2,0)," ")</f>
        <v xml:space="preserve"> </v>
      </c>
      <c r="D431" s="310"/>
      <c r="E431" s="171" t="str">
        <f>IFERROR(VLOOKUP(E430,Списки!$E:$F,2,0)," ")</f>
        <v xml:space="preserve"> </v>
      </c>
      <c r="F431" s="312"/>
      <c r="G431" s="314"/>
      <c r="H431" s="315"/>
      <c r="I431" s="8"/>
      <c r="J431" s="8"/>
      <c r="K431" s="8"/>
      <c r="L431" s="8"/>
      <c r="M431" s="8"/>
      <c r="N431" s="8"/>
      <c r="O431" s="8"/>
      <c r="P431" s="8"/>
      <c r="Q431" s="8"/>
      <c r="R431" s="8"/>
      <c r="S431" s="8"/>
      <c r="T431" s="82"/>
    </row>
    <row r="432" spans="1:20" ht="13.5" customHeight="1" x14ac:dyDescent="0.25">
      <c r="A432" s="307">
        <v>11</v>
      </c>
      <c r="B432" s="307"/>
      <c r="C432" s="170"/>
      <c r="D432" s="309"/>
      <c r="E432" s="170"/>
      <c r="F432" s="311"/>
      <c r="G432" s="313"/>
      <c r="H432" s="315"/>
      <c r="I432" s="8"/>
      <c r="J432" s="8"/>
      <c r="K432" s="8"/>
      <c r="L432" s="8"/>
      <c r="M432" s="8"/>
      <c r="N432" s="8"/>
      <c r="O432" s="8"/>
      <c r="P432" s="8"/>
      <c r="Q432" s="8"/>
      <c r="R432" s="8"/>
      <c r="S432" s="8"/>
      <c r="T432" s="82"/>
    </row>
    <row r="433" spans="1:20" ht="13.5" customHeight="1" x14ac:dyDescent="0.25">
      <c r="A433" s="308"/>
      <c r="B433" s="308"/>
      <c r="C433" s="171" t="str">
        <f>IFERROR(VLOOKUP(C432,Списки!$E:$F,2,0)," ")</f>
        <v xml:space="preserve"> </v>
      </c>
      <c r="D433" s="310"/>
      <c r="E433" s="171" t="str">
        <f>IFERROR(VLOOKUP(E432,Списки!$E:$F,2,0)," ")</f>
        <v xml:space="preserve"> </v>
      </c>
      <c r="F433" s="312"/>
      <c r="G433" s="314"/>
      <c r="H433" s="315"/>
      <c r="I433" s="8"/>
      <c r="J433" s="8"/>
      <c r="K433" s="8"/>
      <c r="L433" s="8"/>
      <c r="M433" s="8"/>
      <c r="N433" s="8"/>
      <c r="O433" s="8"/>
      <c r="P433" s="8"/>
      <c r="Q433" s="8"/>
      <c r="R433" s="8"/>
      <c r="S433" s="8"/>
      <c r="T433" s="82"/>
    </row>
    <row r="434" spans="1:20" ht="13.5" customHeight="1" x14ac:dyDescent="0.25">
      <c r="A434" s="307">
        <v>12</v>
      </c>
      <c r="B434" s="307"/>
      <c r="C434" s="170"/>
      <c r="D434" s="309"/>
      <c r="E434" s="170"/>
      <c r="F434" s="311"/>
      <c r="G434" s="313"/>
      <c r="H434" s="315"/>
      <c r="I434" s="8"/>
      <c r="J434" s="8"/>
      <c r="K434" s="8"/>
      <c r="L434" s="8"/>
      <c r="M434" s="8"/>
      <c r="N434" s="8"/>
      <c r="O434" s="8"/>
      <c r="P434" s="8"/>
      <c r="Q434" s="8"/>
      <c r="R434" s="8"/>
      <c r="S434" s="8"/>
      <c r="T434" s="82"/>
    </row>
    <row r="435" spans="1:20" ht="13.5" customHeight="1" x14ac:dyDescent="0.25">
      <c r="A435" s="308"/>
      <c r="B435" s="308"/>
      <c r="C435" s="171" t="str">
        <f>IFERROR(VLOOKUP(C434,Списки!$E:$F,2,0)," ")</f>
        <v xml:space="preserve"> </v>
      </c>
      <c r="D435" s="310"/>
      <c r="E435" s="171" t="str">
        <f>IFERROR(VLOOKUP(E434,Списки!$E:$F,2,0)," ")</f>
        <v xml:space="preserve"> </v>
      </c>
      <c r="F435" s="312"/>
      <c r="G435" s="314"/>
      <c r="H435" s="315"/>
      <c r="I435" s="8"/>
      <c r="J435" s="8"/>
      <c r="K435" s="8"/>
      <c r="L435" s="8"/>
      <c r="M435" s="8"/>
      <c r="N435" s="8"/>
      <c r="O435" s="8"/>
      <c r="P435" s="8"/>
      <c r="Q435" s="8"/>
      <c r="R435" s="8"/>
      <c r="S435" s="8"/>
      <c r="T435" s="82"/>
    </row>
    <row r="436" spans="1:20" ht="13.5" customHeight="1" x14ac:dyDescent="0.25">
      <c r="A436" s="307">
        <v>13</v>
      </c>
      <c r="B436" s="307"/>
      <c r="C436" s="170"/>
      <c r="D436" s="309"/>
      <c r="E436" s="170"/>
      <c r="F436" s="311"/>
      <c r="G436" s="313"/>
      <c r="H436" s="315"/>
      <c r="I436" s="8"/>
      <c r="J436" s="8"/>
      <c r="K436" s="8"/>
      <c r="L436" s="8"/>
      <c r="M436" s="8"/>
      <c r="N436" s="8"/>
      <c r="O436" s="8"/>
      <c r="P436" s="8"/>
      <c r="Q436" s="8"/>
      <c r="R436" s="8"/>
      <c r="S436" s="8"/>
      <c r="T436" s="82"/>
    </row>
    <row r="437" spans="1:20" ht="13.5" customHeight="1" x14ac:dyDescent="0.25">
      <c r="A437" s="308"/>
      <c r="B437" s="308"/>
      <c r="C437" s="171" t="str">
        <f>IFERROR(VLOOKUP(C436,Списки!$E:$F,2,0)," ")</f>
        <v xml:space="preserve"> </v>
      </c>
      <c r="D437" s="310"/>
      <c r="E437" s="171" t="str">
        <f>IFERROR(VLOOKUP(E436,Списки!$E:$F,2,0)," ")</f>
        <v xml:space="preserve"> </v>
      </c>
      <c r="F437" s="312"/>
      <c r="G437" s="314"/>
      <c r="H437" s="315"/>
      <c r="I437" s="8"/>
      <c r="J437" s="8"/>
      <c r="K437" s="8"/>
      <c r="L437" s="8"/>
      <c r="M437" s="8"/>
      <c r="N437" s="8"/>
      <c r="O437" s="8"/>
      <c r="P437" s="8"/>
      <c r="Q437" s="8"/>
      <c r="R437" s="8"/>
      <c r="S437" s="8"/>
      <c r="T437" s="82"/>
    </row>
    <row r="438" spans="1:20" ht="13.5" customHeight="1" x14ac:dyDescent="0.25">
      <c r="A438" s="307">
        <v>14</v>
      </c>
      <c r="B438" s="307"/>
      <c r="C438" s="170"/>
      <c r="D438" s="309"/>
      <c r="E438" s="170"/>
      <c r="F438" s="311"/>
      <c r="G438" s="313"/>
      <c r="H438" s="315"/>
      <c r="I438" s="8"/>
      <c r="J438" s="8"/>
      <c r="K438" s="8"/>
      <c r="L438" s="8"/>
      <c r="M438" s="8"/>
      <c r="N438" s="8"/>
      <c r="O438" s="8"/>
      <c r="P438" s="8"/>
      <c r="Q438" s="8"/>
      <c r="R438" s="8"/>
      <c r="S438" s="8"/>
      <c r="T438" s="82"/>
    </row>
    <row r="439" spans="1:20" ht="13.5" customHeight="1" x14ac:dyDescent="0.25">
      <c r="A439" s="308"/>
      <c r="B439" s="308"/>
      <c r="C439" s="171" t="str">
        <f>IFERROR(VLOOKUP(C438,Списки!$E:$F,2,0)," ")</f>
        <v xml:space="preserve"> </v>
      </c>
      <c r="D439" s="310"/>
      <c r="E439" s="171" t="str">
        <f>IFERROR(VLOOKUP(E438,Списки!$E:$F,2,0)," ")</f>
        <v xml:space="preserve"> </v>
      </c>
      <c r="F439" s="312"/>
      <c r="G439" s="314"/>
      <c r="H439" s="315"/>
      <c r="I439" s="8"/>
      <c r="J439" s="8"/>
      <c r="K439" s="8"/>
      <c r="L439" s="8"/>
      <c r="M439" s="8"/>
      <c r="N439" s="8"/>
      <c r="O439" s="8"/>
      <c r="P439" s="8"/>
      <c r="Q439" s="8"/>
      <c r="R439" s="8"/>
      <c r="S439" s="8"/>
      <c r="T439" s="82"/>
    </row>
    <row r="440" spans="1:20" ht="13.5" customHeight="1" x14ac:dyDescent="0.25">
      <c r="A440" s="307">
        <v>15</v>
      </c>
      <c r="B440" s="307"/>
      <c r="C440" s="170"/>
      <c r="D440" s="309"/>
      <c r="E440" s="170"/>
      <c r="F440" s="311"/>
      <c r="G440" s="313"/>
      <c r="H440" s="315"/>
      <c r="I440" s="8"/>
      <c r="J440" s="8"/>
      <c r="K440" s="8"/>
      <c r="L440" s="8"/>
      <c r="M440" s="8"/>
      <c r="N440" s="8"/>
      <c r="O440" s="8"/>
      <c r="P440" s="8"/>
      <c r="Q440" s="8"/>
      <c r="R440" s="8"/>
      <c r="S440" s="8"/>
      <c r="T440" s="82"/>
    </row>
    <row r="441" spans="1:20" ht="13.5" customHeight="1" x14ac:dyDescent="0.25">
      <c r="A441" s="308"/>
      <c r="B441" s="308"/>
      <c r="C441" s="171" t="str">
        <f>IFERROR(VLOOKUP(C440,Списки!$E:$F,2,0)," ")</f>
        <v xml:space="preserve"> </v>
      </c>
      <c r="D441" s="310"/>
      <c r="E441" s="171" t="str">
        <f>IFERROR(VLOOKUP(E440,Списки!$E:$F,2,0)," ")</f>
        <v xml:space="preserve"> </v>
      </c>
      <c r="F441" s="312"/>
      <c r="G441" s="314"/>
      <c r="H441" s="315"/>
      <c r="I441" s="8"/>
      <c r="J441" s="8"/>
      <c r="K441" s="8"/>
      <c r="L441" s="8"/>
      <c r="M441" s="8"/>
      <c r="N441" s="8"/>
      <c r="O441" s="8"/>
      <c r="P441" s="8"/>
      <c r="Q441" s="8"/>
      <c r="R441" s="8"/>
      <c r="S441" s="8"/>
      <c r="T441" s="82"/>
    </row>
    <row r="442" spans="1:20" x14ac:dyDescent="0.25">
      <c r="A442" s="36"/>
      <c r="B442" s="37"/>
      <c r="C442" s="173"/>
      <c r="D442" s="173"/>
      <c r="E442" s="174" t="s">
        <v>30</v>
      </c>
      <c r="F442" s="39">
        <f>IFERROR(SUM(IFERROR(IF((LOOKUP(9E+307,F412:F441))&gt;$M$39,(LOOKUP(9E+307,F412:F441))-$M$39,IF((LOOKUP(9E+307,F412:F441))&lt;0.166666667,0+(LOOKUP(9E+307,F412:F441))+1-$M$39,0)),0),(IF(AND(IF(D412,$M$38-D412,0)&gt;0,F412,F412&gt;D412),$M$38-D412,IF(AND(D412,F412,D412&gt;F412),"error",0)))),"ОШИБКА")</f>
        <v>0</v>
      </c>
      <c r="G442" s="40" t="s">
        <v>27</v>
      </c>
      <c r="H442" s="38">
        <f>SUM(H412:H441)</f>
        <v>0</v>
      </c>
      <c r="I442" s="8"/>
      <c r="J442" s="8"/>
      <c r="K442" s="8"/>
      <c r="L442" s="8"/>
      <c r="M442" s="8"/>
      <c r="N442" s="8"/>
      <c r="O442" s="8"/>
      <c r="P442" s="8"/>
      <c r="Q442" s="8"/>
      <c r="R442" s="8"/>
      <c r="S442" s="8"/>
      <c r="T442" s="82"/>
    </row>
    <row r="443" spans="1:20" ht="15.75" x14ac:dyDescent="0.25">
      <c r="A443" s="316">
        <f>DATE(K1,J1,14)</f>
        <v>43844</v>
      </c>
      <c r="B443" s="316"/>
      <c r="C443" s="316"/>
      <c r="D443" s="316"/>
      <c r="E443" s="316"/>
      <c r="F443" s="316"/>
      <c r="G443" s="316"/>
      <c r="H443" s="316"/>
      <c r="I443" s="8"/>
      <c r="J443" s="8"/>
      <c r="K443" s="8"/>
      <c r="L443" s="8"/>
      <c r="M443" s="8"/>
      <c r="N443" s="8"/>
      <c r="O443" s="8"/>
      <c r="P443" s="8"/>
      <c r="Q443" s="8"/>
      <c r="R443" s="8"/>
      <c r="S443" s="8"/>
      <c r="T443" s="82"/>
    </row>
    <row r="444" spans="1:20" ht="13.5" customHeight="1" x14ac:dyDescent="0.25">
      <c r="A444" s="318"/>
      <c r="B444" s="320" t="s">
        <v>34</v>
      </c>
      <c r="C444" s="175" t="s">
        <v>39</v>
      </c>
      <c r="D444" s="322" t="s">
        <v>36</v>
      </c>
      <c r="E444" s="175" t="s">
        <v>37</v>
      </c>
      <c r="F444" s="320" t="s">
        <v>36</v>
      </c>
      <c r="G444" s="324" t="s">
        <v>35</v>
      </c>
      <c r="H444" s="315" t="s">
        <v>40</v>
      </c>
      <c r="I444" s="8"/>
      <c r="J444" s="8"/>
      <c r="K444" s="8"/>
      <c r="L444" s="8"/>
      <c r="M444" s="8"/>
      <c r="N444" s="8"/>
      <c r="O444" s="8"/>
      <c r="P444" s="8"/>
      <c r="Q444" s="8"/>
      <c r="R444" s="8"/>
      <c r="S444" s="8"/>
      <c r="T444" s="82"/>
    </row>
    <row r="445" spans="1:20" ht="13.5" customHeight="1" x14ac:dyDescent="0.25">
      <c r="A445" s="319"/>
      <c r="B445" s="321"/>
      <c r="C445" s="169" t="s">
        <v>38</v>
      </c>
      <c r="D445" s="323"/>
      <c r="E445" s="169" t="s">
        <v>38</v>
      </c>
      <c r="F445" s="321"/>
      <c r="G445" s="325"/>
      <c r="H445" s="315"/>
      <c r="I445" s="8"/>
      <c r="J445" s="8"/>
      <c r="K445" s="8"/>
      <c r="L445" s="8"/>
      <c r="M445" s="8"/>
      <c r="N445" s="8"/>
      <c r="O445" s="8"/>
      <c r="P445" s="8"/>
      <c r="Q445" s="8"/>
      <c r="R445" s="8"/>
      <c r="S445" s="8"/>
      <c r="T445" s="82"/>
    </row>
    <row r="446" spans="1:20" ht="13.5" customHeight="1" x14ac:dyDescent="0.25">
      <c r="A446" s="307">
        <v>1</v>
      </c>
      <c r="B446" s="307"/>
      <c r="C446" s="170" t="s">
        <v>43</v>
      </c>
      <c r="D446" s="309"/>
      <c r="E446" s="170" t="s">
        <v>44</v>
      </c>
      <c r="F446" s="311"/>
      <c r="G446" s="313"/>
      <c r="H446" s="315"/>
      <c r="I446" s="8"/>
      <c r="J446" s="8"/>
      <c r="K446" s="8"/>
      <c r="L446" s="8"/>
      <c r="M446" s="8"/>
      <c r="N446" s="8"/>
      <c r="O446" s="8"/>
      <c r="P446" s="8"/>
      <c r="Q446" s="8"/>
      <c r="R446" s="8"/>
      <c r="S446" s="8"/>
      <c r="T446" s="82"/>
    </row>
    <row r="447" spans="1:20" ht="13.5" customHeight="1" x14ac:dyDescent="0.25">
      <c r="A447" s="308"/>
      <c r="B447" s="308"/>
      <c r="C447" s="171" t="str">
        <f>IFERROR(VLOOKUP(C446,Списки!$E:$F,2,0)," ")</f>
        <v>SAVUSHKINA ST 128</v>
      </c>
      <c r="D447" s="310"/>
      <c r="E447" s="171" t="str">
        <f>IFERROR(VLOOKUP(E446,Списки!$E:$F,2,0)," ")</f>
        <v>LEVASHOVSKOE HWY 20</v>
      </c>
      <c r="F447" s="312"/>
      <c r="G447" s="314"/>
      <c r="H447" s="315"/>
      <c r="I447" s="8"/>
      <c r="J447" s="8"/>
      <c r="K447" s="8"/>
      <c r="L447" s="8"/>
      <c r="M447" s="8"/>
      <c r="N447" s="8"/>
      <c r="O447" s="8"/>
      <c r="P447" s="8"/>
      <c r="Q447" s="8"/>
      <c r="R447" s="8"/>
      <c r="S447" s="8"/>
      <c r="T447" s="82"/>
    </row>
    <row r="448" spans="1:20" ht="13.5" customHeight="1" x14ac:dyDescent="0.25">
      <c r="A448" s="307">
        <v>2</v>
      </c>
      <c r="B448" s="307"/>
      <c r="C448" s="170" t="s">
        <v>44</v>
      </c>
      <c r="D448" s="309"/>
      <c r="E448" s="170"/>
      <c r="F448" s="311"/>
      <c r="G448" s="313"/>
      <c r="H448" s="315"/>
      <c r="I448" s="8"/>
      <c r="J448" s="8"/>
      <c r="K448" s="8"/>
      <c r="L448" s="8"/>
      <c r="M448" s="8"/>
      <c r="N448" s="8"/>
      <c r="O448" s="8"/>
      <c r="P448" s="8"/>
      <c r="Q448" s="8"/>
      <c r="R448" s="8"/>
      <c r="S448" s="8"/>
      <c r="T448" s="82"/>
    </row>
    <row r="449" spans="1:20" ht="13.5" customHeight="1" x14ac:dyDescent="0.25">
      <c r="A449" s="308"/>
      <c r="B449" s="308"/>
      <c r="C449" s="171" t="str">
        <f>IFERROR(VLOOKUP(C448,Списки!$E:$F,2,0)," ")</f>
        <v>LEVASHOVSKOE HWY 20</v>
      </c>
      <c r="D449" s="310"/>
      <c r="E449" s="171" t="str">
        <f>IFERROR(VLOOKUP(E448,Списки!$E:$F,2,0)," ")</f>
        <v xml:space="preserve"> </v>
      </c>
      <c r="F449" s="312"/>
      <c r="G449" s="314"/>
      <c r="H449" s="315"/>
      <c r="I449" s="8"/>
      <c r="J449" s="8"/>
      <c r="K449" s="8"/>
      <c r="L449" s="8"/>
      <c r="M449" s="8"/>
      <c r="N449" s="8"/>
      <c r="O449" s="8"/>
      <c r="P449" s="8"/>
      <c r="Q449" s="8"/>
      <c r="R449" s="8"/>
      <c r="S449" s="8"/>
      <c r="T449" s="82"/>
    </row>
    <row r="450" spans="1:20" ht="13.5" customHeight="1" x14ac:dyDescent="0.25">
      <c r="A450" s="307">
        <v>3</v>
      </c>
      <c r="B450" s="307"/>
      <c r="C450" s="170"/>
      <c r="D450" s="309"/>
      <c r="E450" s="170"/>
      <c r="F450" s="311"/>
      <c r="G450" s="313"/>
      <c r="H450" s="315"/>
      <c r="I450" s="8"/>
      <c r="J450" s="8"/>
      <c r="K450" s="8"/>
      <c r="L450" s="8"/>
      <c r="M450" s="8"/>
      <c r="N450" s="8"/>
      <c r="O450" s="8"/>
      <c r="P450" s="8"/>
      <c r="Q450" s="8"/>
      <c r="R450" s="8"/>
      <c r="S450" s="8"/>
      <c r="T450" s="82"/>
    </row>
    <row r="451" spans="1:20" ht="13.5" customHeight="1" x14ac:dyDescent="0.25">
      <c r="A451" s="308"/>
      <c r="B451" s="308"/>
      <c r="C451" s="171" t="str">
        <f>IFERROR(VLOOKUP(C450,Списки!$E:$F,2,0)," ")</f>
        <v xml:space="preserve"> </v>
      </c>
      <c r="D451" s="310"/>
      <c r="E451" s="171" t="str">
        <f>IFERROR(VLOOKUP(E450,Списки!$E:$F,2,0)," ")</f>
        <v xml:space="preserve"> </v>
      </c>
      <c r="F451" s="312"/>
      <c r="G451" s="314"/>
      <c r="H451" s="315"/>
      <c r="I451" s="8"/>
      <c r="J451" s="8"/>
      <c r="K451" s="8"/>
      <c r="L451" s="8"/>
      <c r="M451" s="8"/>
      <c r="N451" s="8"/>
      <c r="O451" s="8"/>
      <c r="P451" s="8"/>
      <c r="Q451" s="8"/>
      <c r="R451" s="8"/>
      <c r="S451" s="8"/>
      <c r="T451" s="82"/>
    </row>
    <row r="452" spans="1:20" ht="13.5" customHeight="1" x14ac:dyDescent="0.25">
      <c r="A452" s="307">
        <v>4</v>
      </c>
      <c r="B452" s="307"/>
      <c r="C452" s="170"/>
      <c r="D452" s="309"/>
      <c r="E452" s="170"/>
      <c r="F452" s="311"/>
      <c r="G452" s="313"/>
      <c r="H452" s="315"/>
      <c r="I452" s="8"/>
      <c r="J452" s="8"/>
      <c r="K452" s="8"/>
      <c r="L452" s="8"/>
      <c r="M452" s="8"/>
      <c r="N452" s="8"/>
      <c r="O452" s="8"/>
      <c r="P452" s="8"/>
      <c r="Q452" s="8"/>
      <c r="R452" s="8"/>
      <c r="S452" s="8"/>
      <c r="T452" s="82"/>
    </row>
    <row r="453" spans="1:20" ht="13.5" customHeight="1" x14ac:dyDescent="0.25">
      <c r="A453" s="308"/>
      <c r="B453" s="308"/>
      <c r="C453" s="171" t="str">
        <f>IFERROR(VLOOKUP(C452,Списки!$E:$F,2,0)," ")</f>
        <v xml:space="preserve"> </v>
      </c>
      <c r="D453" s="310"/>
      <c r="E453" s="171" t="str">
        <f>IFERROR(VLOOKUP(E452,Списки!$E:$F,2,0)," ")</f>
        <v xml:space="preserve"> </v>
      </c>
      <c r="F453" s="312"/>
      <c r="G453" s="314"/>
      <c r="H453" s="315"/>
      <c r="I453" s="8"/>
      <c r="J453" s="8"/>
      <c r="K453" s="8"/>
      <c r="L453" s="8"/>
      <c r="M453" s="8"/>
      <c r="N453" s="8"/>
      <c r="O453" s="8"/>
      <c r="P453" s="8"/>
      <c r="Q453" s="8"/>
      <c r="R453" s="8"/>
      <c r="S453" s="8"/>
      <c r="T453" s="82"/>
    </row>
    <row r="454" spans="1:20" ht="13.5" customHeight="1" x14ac:dyDescent="0.25">
      <c r="A454" s="307">
        <v>5</v>
      </c>
      <c r="B454" s="307"/>
      <c r="C454" s="170"/>
      <c r="D454" s="309"/>
      <c r="E454" s="172"/>
      <c r="F454" s="311"/>
      <c r="G454" s="313"/>
      <c r="H454" s="315"/>
      <c r="I454" s="8"/>
      <c r="J454" s="8"/>
      <c r="K454" s="8"/>
      <c r="L454" s="8"/>
      <c r="M454" s="8"/>
      <c r="N454" s="8"/>
      <c r="O454" s="8"/>
      <c r="P454" s="8"/>
      <c r="Q454" s="8"/>
      <c r="R454" s="8"/>
      <c r="S454" s="8"/>
      <c r="T454" s="82"/>
    </row>
    <row r="455" spans="1:20" ht="13.5" customHeight="1" x14ac:dyDescent="0.25">
      <c r="A455" s="308"/>
      <c r="B455" s="308"/>
      <c r="C455" s="171" t="str">
        <f>IFERROR(VLOOKUP(C454,Списки!$E:$F,2,0)," ")</f>
        <v xml:space="preserve"> </v>
      </c>
      <c r="D455" s="310"/>
      <c r="E455" s="172" t="str">
        <f>IFERROR(VLOOKUP(E454,Списки!$E:$F,2,0)," ")</f>
        <v xml:space="preserve"> </v>
      </c>
      <c r="F455" s="312"/>
      <c r="G455" s="314"/>
      <c r="H455" s="315"/>
      <c r="I455" s="8"/>
      <c r="J455" s="8"/>
      <c r="K455" s="8"/>
      <c r="L455" s="8"/>
      <c r="M455" s="8"/>
      <c r="N455" s="8"/>
      <c r="O455" s="8"/>
      <c r="P455" s="8"/>
      <c r="Q455" s="8"/>
      <c r="R455" s="8"/>
      <c r="S455" s="8"/>
      <c r="T455" s="82"/>
    </row>
    <row r="456" spans="1:20" ht="13.5" customHeight="1" x14ac:dyDescent="0.25">
      <c r="A456" s="307">
        <v>6</v>
      </c>
      <c r="B456" s="307"/>
      <c r="C456" s="170"/>
      <c r="D456" s="309"/>
      <c r="E456" s="170"/>
      <c r="F456" s="311"/>
      <c r="G456" s="313"/>
      <c r="H456" s="315"/>
      <c r="I456" s="8"/>
      <c r="J456" s="8"/>
      <c r="K456" s="8"/>
      <c r="L456" s="8"/>
      <c r="M456" s="8"/>
      <c r="N456" s="8"/>
      <c r="O456" s="8"/>
      <c r="P456" s="8"/>
      <c r="Q456" s="8"/>
      <c r="R456" s="8"/>
      <c r="S456" s="8"/>
      <c r="T456" s="82"/>
    </row>
    <row r="457" spans="1:20" ht="13.5" customHeight="1" x14ac:dyDescent="0.25">
      <c r="A457" s="308"/>
      <c r="B457" s="308"/>
      <c r="C457" s="171" t="str">
        <f>IFERROR(VLOOKUP(C456,Списки!$E:$F,2,0)," ")</f>
        <v xml:space="preserve"> </v>
      </c>
      <c r="D457" s="310"/>
      <c r="E457" s="179" t="str">
        <f>IFERROR(VLOOKUP(E456,Списки!$E:$F,2,0)," ")</f>
        <v xml:space="preserve"> </v>
      </c>
      <c r="F457" s="312"/>
      <c r="G457" s="314"/>
      <c r="H457" s="315"/>
      <c r="I457" s="8"/>
      <c r="J457" s="8"/>
      <c r="K457" s="8"/>
      <c r="L457" s="8"/>
      <c r="M457" s="8"/>
      <c r="N457" s="8"/>
      <c r="O457" s="8"/>
      <c r="P457" s="8"/>
      <c r="Q457" s="8"/>
      <c r="R457" s="8"/>
      <c r="S457" s="8"/>
      <c r="T457" s="82"/>
    </row>
    <row r="458" spans="1:20" ht="13.5" customHeight="1" x14ac:dyDescent="0.25">
      <c r="A458" s="307">
        <v>7</v>
      </c>
      <c r="B458" s="307"/>
      <c r="C458" s="170"/>
      <c r="D458" s="309"/>
      <c r="E458" s="170"/>
      <c r="F458" s="311"/>
      <c r="G458" s="313"/>
      <c r="H458" s="315"/>
      <c r="I458" s="8"/>
      <c r="J458" s="8"/>
      <c r="K458" s="8"/>
      <c r="L458" s="8"/>
      <c r="M458" s="8"/>
      <c r="N458" s="8"/>
      <c r="O458" s="8"/>
      <c r="P458" s="8"/>
      <c r="Q458" s="8"/>
      <c r="R458" s="8"/>
      <c r="S458" s="8"/>
      <c r="T458" s="82"/>
    </row>
    <row r="459" spans="1:20" ht="13.5" customHeight="1" x14ac:dyDescent="0.25">
      <c r="A459" s="308"/>
      <c r="B459" s="308"/>
      <c r="C459" s="179" t="str">
        <f>IFERROR(VLOOKUP(C458,Списки!$E:$F,2,0)," ")</f>
        <v xml:space="preserve"> </v>
      </c>
      <c r="D459" s="310"/>
      <c r="E459" s="171" t="str">
        <f>IFERROR(VLOOKUP(E458,Списки!$E:$F,2,0)," ")</f>
        <v xml:space="preserve"> </v>
      </c>
      <c r="F459" s="312"/>
      <c r="G459" s="314"/>
      <c r="H459" s="315"/>
      <c r="I459" s="8"/>
      <c r="J459" s="8"/>
      <c r="K459" s="8"/>
      <c r="L459" s="8"/>
      <c r="M459" s="8"/>
      <c r="N459" s="8"/>
      <c r="O459" s="8"/>
      <c r="P459" s="8"/>
      <c r="Q459" s="8"/>
      <c r="R459" s="8"/>
      <c r="S459" s="8"/>
      <c r="T459" s="82"/>
    </row>
    <row r="460" spans="1:20" ht="13.5" customHeight="1" x14ac:dyDescent="0.25">
      <c r="A460" s="307">
        <v>8</v>
      </c>
      <c r="B460" s="307"/>
      <c r="C460" s="170"/>
      <c r="D460" s="309"/>
      <c r="E460" s="170"/>
      <c r="F460" s="311"/>
      <c r="G460" s="313"/>
      <c r="H460" s="315"/>
      <c r="I460" s="8"/>
      <c r="J460" s="8"/>
      <c r="K460" s="8"/>
      <c r="L460" s="8"/>
      <c r="M460" s="8"/>
      <c r="N460" s="8"/>
      <c r="O460" s="8"/>
      <c r="P460" s="8"/>
      <c r="Q460" s="8"/>
      <c r="R460" s="8"/>
      <c r="S460" s="8"/>
      <c r="T460" s="82"/>
    </row>
    <row r="461" spans="1:20" ht="13.5" customHeight="1" x14ac:dyDescent="0.25">
      <c r="A461" s="308"/>
      <c r="B461" s="308"/>
      <c r="C461" s="179" t="str">
        <f>IFERROR(VLOOKUP(C460,Списки!$E:$F,2,0)," ")</f>
        <v xml:space="preserve"> </v>
      </c>
      <c r="D461" s="310"/>
      <c r="E461" s="171" t="str">
        <f>IFERROR(VLOOKUP(E460,Списки!$E:$F,2,0)," ")</f>
        <v xml:space="preserve"> </v>
      </c>
      <c r="F461" s="312"/>
      <c r="G461" s="314"/>
      <c r="H461" s="315"/>
      <c r="I461" s="8"/>
      <c r="J461" s="8"/>
      <c r="K461" s="8"/>
      <c r="L461" s="8"/>
      <c r="M461" s="8"/>
      <c r="N461" s="8"/>
      <c r="O461" s="8"/>
      <c r="P461" s="8"/>
      <c r="Q461" s="8"/>
      <c r="R461" s="8"/>
      <c r="S461" s="8"/>
      <c r="T461" s="82"/>
    </row>
    <row r="462" spans="1:20" ht="13.5" customHeight="1" x14ac:dyDescent="0.25">
      <c r="A462" s="307">
        <v>9</v>
      </c>
      <c r="B462" s="307"/>
      <c r="C462" s="170"/>
      <c r="D462" s="309"/>
      <c r="E462" s="170"/>
      <c r="F462" s="311"/>
      <c r="G462" s="313"/>
      <c r="H462" s="315"/>
      <c r="I462" s="8"/>
      <c r="J462" s="8"/>
      <c r="K462" s="8"/>
      <c r="L462" s="8"/>
      <c r="M462" s="8"/>
      <c r="N462" s="8"/>
      <c r="O462" s="8"/>
      <c r="P462" s="8"/>
      <c r="Q462" s="8"/>
      <c r="R462" s="8"/>
      <c r="S462" s="8"/>
      <c r="T462" s="82"/>
    </row>
    <row r="463" spans="1:20" ht="13.5" customHeight="1" x14ac:dyDescent="0.25">
      <c r="A463" s="308"/>
      <c r="B463" s="308"/>
      <c r="C463" s="171" t="str">
        <f>IFERROR(VLOOKUP(C462,Списки!$E:$F,2,0)," ")</f>
        <v xml:space="preserve"> </v>
      </c>
      <c r="D463" s="310"/>
      <c r="E463" s="171" t="str">
        <f>IFERROR(VLOOKUP(E462,Списки!$E:$F,2,0)," ")</f>
        <v xml:space="preserve"> </v>
      </c>
      <c r="F463" s="312"/>
      <c r="G463" s="314"/>
      <c r="H463" s="315"/>
      <c r="I463" s="8"/>
      <c r="J463" s="8"/>
      <c r="K463" s="8"/>
      <c r="L463" s="8"/>
      <c r="M463" s="8"/>
      <c r="N463" s="8"/>
      <c r="O463" s="8"/>
      <c r="P463" s="8"/>
      <c r="Q463" s="8"/>
      <c r="R463" s="8"/>
      <c r="S463" s="8"/>
      <c r="T463" s="82"/>
    </row>
    <row r="464" spans="1:20" ht="13.5" customHeight="1" x14ac:dyDescent="0.25">
      <c r="A464" s="307">
        <v>10</v>
      </c>
      <c r="B464" s="307"/>
      <c r="C464" s="170"/>
      <c r="D464" s="309"/>
      <c r="E464" s="170"/>
      <c r="F464" s="311"/>
      <c r="G464" s="313"/>
      <c r="H464" s="315"/>
      <c r="I464" s="8"/>
      <c r="J464" s="8"/>
      <c r="K464" s="8"/>
      <c r="L464" s="8"/>
      <c r="M464" s="8"/>
      <c r="N464" s="8"/>
      <c r="O464" s="8"/>
      <c r="P464" s="8"/>
      <c r="Q464" s="8"/>
      <c r="R464" s="8"/>
      <c r="S464" s="8"/>
      <c r="T464" s="82"/>
    </row>
    <row r="465" spans="1:20" ht="13.5" customHeight="1" x14ac:dyDescent="0.25">
      <c r="A465" s="308"/>
      <c r="B465" s="308"/>
      <c r="C465" s="171" t="str">
        <f>IFERROR(VLOOKUP(C464,Списки!$E:$F,2,0)," ")</f>
        <v xml:space="preserve"> </v>
      </c>
      <c r="D465" s="310"/>
      <c r="E465" s="171" t="str">
        <f>IFERROR(VLOOKUP(E464,Списки!$E:$F,2,0)," ")</f>
        <v xml:space="preserve"> </v>
      </c>
      <c r="F465" s="312"/>
      <c r="G465" s="314"/>
      <c r="H465" s="315"/>
      <c r="I465" s="8"/>
      <c r="J465" s="8"/>
      <c r="K465" s="8"/>
      <c r="L465" s="8"/>
      <c r="M465" s="8"/>
      <c r="N465" s="8"/>
      <c r="O465" s="8"/>
      <c r="P465" s="8"/>
      <c r="Q465" s="8"/>
      <c r="R465" s="8"/>
      <c r="S465" s="8"/>
      <c r="T465" s="82"/>
    </row>
    <row r="466" spans="1:20" ht="13.5" customHeight="1" x14ac:dyDescent="0.25">
      <c r="A466" s="307">
        <v>11</v>
      </c>
      <c r="B466" s="307"/>
      <c r="C466" s="170"/>
      <c r="D466" s="309"/>
      <c r="E466" s="170"/>
      <c r="F466" s="311"/>
      <c r="G466" s="313"/>
      <c r="H466" s="315"/>
      <c r="I466" s="8"/>
      <c r="J466" s="8"/>
      <c r="K466" s="8"/>
      <c r="L466" s="8"/>
      <c r="M466" s="8"/>
      <c r="N466" s="8"/>
      <c r="O466" s="8"/>
      <c r="P466" s="8"/>
      <c r="Q466" s="8"/>
      <c r="R466" s="8"/>
      <c r="S466" s="8"/>
      <c r="T466" s="82"/>
    </row>
    <row r="467" spans="1:20" ht="13.5" customHeight="1" x14ac:dyDescent="0.25">
      <c r="A467" s="308"/>
      <c r="B467" s="308"/>
      <c r="C467" s="171" t="str">
        <f>IFERROR(VLOOKUP(C466,Списки!$E:$F,2,0)," ")</f>
        <v xml:space="preserve"> </v>
      </c>
      <c r="D467" s="310"/>
      <c r="E467" s="171" t="str">
        <f>IFERROR(VLOOKUP(E466,Списки!$E:$F,2,0)," ")</f>
        <v xml:space="preserve"> </v>
      </c>
      <c r="F467" s="312"/>
      <c r="G467" s="314"/>
      <c r="H467" s="315"/>
      <c r="I467" s="8"/>
      <c r="J467" s="8"/>
      <c r="K467" s="8"/>
      <c r="L467" s="8"/>
      <c r="M467" s="8"/>
      <c r="N467" s="8"/>
      <c r="O467" s="8"/>
      <c r="P467" s="8"/>
      <c r="Q467" s="8"/>
      <c r="R467" s="8"/>
      <c r="S467" s="8"/>
      <c r="T467" s="82"/>
    </row>
    <row r="468" spans="1:20" ht="13.5" customHeight="1" x14ac:dyDescent="0.25">
      <c r="A468" s="307">
        <v>12</v>
      </c>
      <c r="B468" s="307"/>
      <c r="C468" s="170"/>
      <c r="D468" s="309"/>
      <c r="E468" s="170"/>
      <c r="F468" s="311"/>
      <c r="G468" s="313"/>
      <c r="H468" s="315"/>
      <c r="I468" s="8"/>
      <c r="J468" s="8"/>
      <c r="K468" s="8"/>
      <c r="L468" s="8"/>
      <c r="M468" s="8"/>
      <c r="N468" s="8"/>
      <c r="O468" s="8"/>
      <c r="P468" s="8"/>
      <c r="Q468" s="8"/>
      <c r="R468" s="8"/>
      <c r="S468" s="8"/>
      <c r="T468" s="82"/>
    </row>
    <row r="469" spans="1:20" ht="13.5" customHeight="1" x14ac:dyDescent="0.25">
      <c r="A469" s="308"/>
      <c r="B469" s="308"/>
      <c r="C469" s="171" t="str">
        <f>IFERROR(VLOOKUP(C468,Списки!$E:$F,2,0)," ")</f>
        <v xml:space="preserve"> </v>
      </c>
      <c r="D469" s="310"/>
      <c r="E469" s="171" t="str">
        <f>IFERROR(VLOOKUP(E468,Списки!$E:$F,2,0)," ")</f>
        <v xml:space="preserve"> </v>
      </c>
      <c r="F469" s="312"/>
      <c r="G469" s="314"/>
      <c r="H469" s="315"/>
      <c r="I469" s="8"/>
      <c r="J469" s="8"/>
      <c r="K469" s="8"/>
      <c r="L469" s="8"/>
      <c r="M469" s="8"/>
      <c r="N469" s="8"/>
      <c r="O469" s="8"/>
      <c r="P469" s="8"/>
      <c r="Q469" s="8"/>
      <c r="R469" s="8"/>
      <c r="S469" s="8"/>
      <c r="T469" s="82"/>
    </row>
    <row r="470" spans="1:20" ht="13.5" customHeight="1" x14ac:dyDescent="0.25">
      <c r="A470" s="307">
        <v>13</v>
      </c>
      <c r="B470" s="307"/>
      <c r="C470" s="170"/>
      <c r="D470" s="309"/>
      <c r="E470" s="170"/>
      <c r="F470" s="311"/>
      <c r="G470" s="313"/>
      <c r="H470" s="315"/>
      <c r="I470" s="8"/>
      <c r="J470" s="8"/>
      <c r="K470" s="8"/>
      <c r="L470" s="8"/>
      <c r="M470" s="8"/>
      <c r="N470" s="8"/>
      <c r="O470" s="8"/>
      <c r="P470" s="8"/>
      <c r="Q470" s="8"/>
      <c r="R470" s="8"/>
      <c r="S470" s="8"/>
      <c r="T470" s="82"/>
    </row>
    <row r="471" spans="1:20" ht="13.5" customHeight="1" x14ac:dyDescent="0.25">
      <c r="A471" s="308"/>
      <c r="B471" s="308"/>
      <c r="C471" s="171" t="str">
        <f>IFERROR(VLOOKUP(C470,Списки!$E:$F,2,0)," ")</f>
        <v xml:space="preserve"> </v>
      </c>
      <c r="D471" s="310"/>
      <c r="E471" s="171" t="str">
        <f>IFERROR(VLOOKUP(E470,Списки!$E:$F,2,0)," ")</f>
        <v xml:space="preserve"> </v>
      </c>
      <c r="F471" s="312"/>
      <c r="G471" s="314"/>
      <c r="H471" s="315"/>
      <c r="I471" s="8"/>
      <c r="J471" s="8"/>
      <c r="K471" s="8"/>
      <c r="L471" s="8"/>
      <c r="M471" s="8"/>
      <c r="N471" s="8"/>
      <c r="O471" s="8"/>
      <c r="P471" s="8"/>
      <c r="Q471" s="8"/>
      <c r="R471" s="8"/>
      <c r="S471" s="8"/>
      <c r="T471" s="82"/>
    </row>
    <row r="472" spans="1:20" ht="13.5" customHeight="1" x14ac:dyDescent="0.25">
      <c r="A472" s="307">
        <v>14</v>
      </c>
      <c r="B472" s="307"/>
      <c r="C472" s="170"/>
      <c r="D472" s="309"/>
      <c r="E472" s="170"/>
      <c r="F472" s="311"/>
      <c r="G472" s="313"/>
      <c r="H472" s="315"/>
      <c r="I472" s="8"/>
      <c r="J472" s="8"/>
      <c r="K472" s="8"/>
      <c r="L472" s="8"/>
      <c r="M472" s="8"/>
      <c r="N472" s="8"/>
      <c r="O472" s="8"/>
      <c r="P472" s="8"/>
      <c r="Q472" s="8"/>
      <c r="R472" s="8"/>
      <c r="S472" s="8"/>
      <c r="T472" s="82"/>
    </row>
    <row r="473" spans="1:20" ht="13.5" customHeight="1" x14ac:dyDescent="0.25">
      <c r="A473" s="308"/>
      <c r="B473" s="308"/>
      <c r="C473" s="171" t="str">
        <f>IFERROR(VLOOKUP(C472,Списки!$E:$F,2,0)," ")</f>
        <v xml:space="preserve"> </v>
      </c>
      <c r="D473" s="310"/>
      <c r="E473" s="171" t="str">
        <f>IFERROR(VLOOKUP(E472,Списки!$E:$F,2,0)," ")</f>
        <v xml:space="preserve"> </v>
      </c>
      <c r="F473" s="312"/>
      <c r="G473" s="314"/>
      <c r="H473" s="315"/>
      <c r="I473" s="8"/>
      <c r="J473" s="8"/>
      <c r="K473" s="8"/>
      <c r="L473" s="8"/>
      <c r="M473" s="8"/>
      <c r="N473" s="8"/>
      <c r="O473" s="8"/>
      <c r="P473" s="8"/>
      <c r="Q473" s="8"/>
      <c r="R473" s="8"/>
      <c r="S473" s="8"/>
      <c r="T473" s="82"/>
    </row>
    <row r="474" spans="1:20" ht="13.5" customHeight="1" x14ac:dyDescent="0.25">
      <c r="A474" s="307">
        <v>15</v>
      </c>
      <c r="B474" s="307"/>
      <c r="C474" s="170"/>
      <c r="D474" s="309"/>
      <c r="E474" s="170"/>
      <c r="F474" s="311"/>
      <c r="G474" s="313"/>
      <c r="H474" s="315"/>
      <c r="I474" s="8"/>
      <c r="J474" s="8"/>
      <c r="K474" s="8"/>
      <c r="L474" s="8"/>
      <c r="M474" s="8"/>
      <c r="N474" s="8"/>
      <c r="O474" s="8"/>
      <c r="P474" s="8"/>
      <c r="Q474" s="8"/>
      <c r="R474" s="8"/>
      <c r="S474" s="8"/>
      <c r="T474" s="82"/>
    </row>
    <row r="475" spans="1:20" ht="13.5" customHeight="1" x14ac:dyDescent="0.25">
      <c r="A475" s="308"/>
      <c r="B475" s="308"/>
      <c r="C475" s="171" t="str">
        <f>IFERROR(VLOOKUP(C474,Списки!$E:$F,2,0)," ")</f>
        <v xml:space="preserve"> </v>
      </c>
      <c r="D475" s="310"/>
      <c r="E475" s="171" t="str">
        <f>IFERROR(VLOOKUP(E474,Списки!$E:$F,2,0)," ")</f>
        <v xml:space="preserve"> </v>
      </c>
      <c r="F475" s="312"/>
      <c r="G475" s="314"/>
      <c r="H475" s="315"/>
      <c r="I475" s="8"/>
      <c r="J475" s="8"/>
      <c r="K475" s="8"/>
      <c r="L475" s="8"/>
      <c r="M475" s="8"/>
      <c r="N475" s="8"/>
      <c r="O475" s="8"/>
      <c r="P475" s="8"/>
      <c r="Q475" s="8"/>
      <c r="R475" s="8"/>
      <c r="S475" s="8"/>
      <c r="T475" s="82"/>
    </row>
    <row r="476" spans="1:20" x14ac:dyDescent="0.25">
      <c r="A476" s="36"/>
      <c r="B476" s="37"/>
      <c r="C476" s="173"/>
      <c r="D476" s="173"/>
      <c r="E476" s="174" t="s">
        <v>30</v>
      </c>
      <c r="F476" s="39">
        <f>IFERROR(SUM(IFERROR(IF((LOOKUP(9E+307,F446:F475))&gt;$M$39,(LOOKUP(9E+307,F446:F475))-$M$39,IF((LOOKUP(9E+307,F446:F475))&lt;0.166666667,0+(LOOKUP(9E+307,F446:F475))+1-$M$39,0)),0),(IF(AND(IF(D446,$M$38-D446,0)&gt;0,F446,F446&gt;D446),$M$38-D446,IF(AND(D446,F446,D446&gt;F446),"error",0)))),"ОШИБКА")</f>
        <v>0</v>
      </c>
      <c r="G476" s="40" t="s">
        <v>27</v>
      </c>
      <c r="H476" s="38">
        <f>SUM(H446:H475)</f>
        <v>0</v>
      </c>
      <c r="I476" s="8"/>
      <c r="J476" s="8"/>
      <c r="K476" s="8"/>
      <c r="L476" s="8"/>
      <c r="M476" s="8"/>
      <c r="N476" s="8"/>
      <c r="O476" s="8"/>
      <c r="P476" s="8"/>
      <c r="Q476" s="8"/>
      <c r="R476" s="8"/>
      <c r="S476" s="8"/>
      <c r="T476" s="82"/>
    </row>
    <row r="477" spans="1:20" ht="15.75" x14ac:dyDescent="0.25">
      <c r="A477" s="316">
        <f>DATE(K1,J1,15)</f>
        <v>43845</v>
      </c>
      <c r="B477" s="316"/>
      <c r="C477" s="316"/>
      <c r="D477" s="316"/>
      <c r="E477" s="316"/>
      <c r="F477" s="316"/>
      <c r="G477" s="316"/>
      <c r="H477" s="316"/>
      <c r="I477" s="8"/>
      <c r="J477" s="8"/>
      <c r="K477" s="8"/>
      <c r="L477" s="8"/>
      <c r="M477" s="8"/>
      <c r="N477" s="8"/>
      <c r="O477" s="8"/>
      <c r="P477" s="8"/>
      <c r="Q477" s="8"/>
      <c r="R477" s="8"/>
      <c r="S477" s="8"/>
      <c r="T477" s="82"/>
    </row>
    <row r="478" spans="1:20" ht="13.5" customHeight="1" x14ac:dyDescent="0.25">
      <c r="A478" s="318"/>
      <c r="B478" s="320" t="s">
        <v>34</v>
      </c>
      <c r="C478" s="175" t="s">
        <v>39</v>
      </c>
      <c r="D478" s="322" t="s">
        <v>36</v>
      </c>
      <c r="E478" s="175" t="s">
        <v>37</v>
      </c>
      <c r="F478" s="320" t="s">
        <v>36</v>
      </c>
      <c r="G478" s="324" t="s">
        <v>35</v>
      </c>
      <c r="H478" s="315" t="s">
        <v>40</v>
      </c>
      <c r="I478" s="8"/>
      <c r="J478" s="8"/>
      <c r="K478" s="8"/>
      <c r="L478" s="8"/>
      <c r="M478" s="8"/>
      <c r="N478" s="8"/>
      <c r="O478" s="8"/>
      <c r="P478" s="8"/>
      <c r="Q478" s="8"/>
      <c r="R478" s="8"/>
      <c r="S478" s="8"/>
      <c r="T478" s="82"/>
    </row>
    <row r="479" spans="1:20" ht="13.5" customHeight="1" x14ac:dyDescent="0.25">
      <c r="A479" s="319"/>
      <c r="B479" s="321"/>
      <c r="C479" s="169" t="s">
        <v>38</v>
      </c>
      <c r="D479" s="323"/>
      <c r="E479" s="169" t="s">
        <v>38</v>
      </c>
      <c r="F479" s="321"/>
      <c r="G479" s="325"/>
      <c r="H479" s="315"/>
      <c r="I479" s="8"/>
      <c r="J479" s="8"/>
      <c r="K479" s="8"/>
      <c r="L479" s="8"/>
      <c r="M479" s="8"/>
      <c r="N479" s="8"/>
      <c r="O479" s="8"/>
      <c r="P479" s="8"/>
      <c r="Q479" s="8"/>
      <c r="R479" s="8"/>
      <c r="S479" s="8"/>
      <c r="T479" s="82"/>
    </row>
    <row r="480" spans="1:20" ht="13.5" customHeight="1" x14ac:dyDescent="0.25">
      <c r="A480" s="307">
        <v>1</v>
      </c>
      <c r="B480" s="307"/>
      <c r="C480" s="170" t="s">
        <v>43</v>
      </c>
      <c r="D480" s="309"/>
      <c r="E480" s="170" t="s">
        <v>44</v>
      </c>
      <c r="F480" s="311"/>
      <c r="G480" s="313"/>
      <c r="H480" s="315"/>
      <c r="I480" s="8"/>
      <c r="J480" s="8"/>
      <c r="K480" s="8"/>
      <c r="L480" s="8"/>
      <c r="M480" s="8"/>
      <c r="N480" s="8"/>
      <c r="O480" s="8"/>
      <c r="P480" s="8"/>
      <c r="Q480" s="8"/>
      <c r="R480" s="8"/>
      <c r="S480" s="8"/>
      <c r="T480" s="82"/>
    </row>
    <row r="481" spans="1:20" ht="13.5" customHeight="1" x14ac:dyDescent="0.25">
      <c r="A481" s="308"/>
      <c r="B481" s="308"/>
      <c r="C481" s="171" t="str">
        <f>IFERROR(VLOOKUP(C480,Списки!$E:$F,2,0)," ")</f>
        <v>SAVUSHKINA ST 128</v>
      </c>
      <c r="D481" s="310"/>
      <c r="E481" s="171" t="str">
        <f>IFERROR(VLOOKUP(E480,Списки!$E:$F,2,0)," ")</f>
        <v>LEVASHOVSKOE HWY 20</v>
      </c>
      <c r="F481" s="312"/>
      <c r="G481" s="314"/>
      <c r="H481" s="315"/>
      <c r="I481" s="8"/>
      <c r="J481" s="8"/>
      <c r="K481" s="8"/>
      <c r="L481" s="8"/>
      <c r="M481" s="8"/>
      <c r="N481" s="8"/>
      <c r="O481" s="8"/>
      <c r="P481" s="8"/>
      <c r="Q481" s="8"/>
      <c r="R481" s="8"/>
      <c r="S481" s="8"/>
      <c r="T481" s="82"/>
    </row>
    <row r="482" spans="1:20" ht="13.5" customHeight="1" x14ac:dyDescent="0.25">
      <c r="A482" s="307">
        <v>2</v>
      </c>
      <c r="B482" s="307"/>
      <c r="C482" s="170" t="s">
        <v>44</v>
      </c>
      <c r="D482" s="309"/>
      <c r="E482" s="170"/>
      <c r="F482" s="311"/>
      <c r="G482" s="313"/>
      <c r="H482" s="315"/>
      <c r="I482" s="8"/>
      <c r="J482" s="8"/>
      <c r="K482" s="8"/>
      <c r="L482" s="8"/>
      <c r="M482" s="8"/>
      <c r="N482" s="8"/>
      <c r="O482" s="8"/>
      <c r="P482" s="8"/>
      <c r="Q482" s="8"/>
      <c r="R482" s="8"/>
      <c r="S482" s="8"/>
      <c r="T482" s="82"/>
    </row>
    <row r="483" spans="1:20" ht="13.5" customHeight="1" x14ac:dyDescent="0.25">
      <c r="A483" s="308"/>
      <c r="B483" s="308"/>
      <c r="C483" s="171" t="str">
        <f>IFERROR(VLOOKUP(C482,Списки!$E:$F,2,0)," ")</f>
        <v>LEVASHOVSKOE HWY 20</v>
      </c>
      <c r="D483" s="310"/>
      <c r="E483" s="171" t="str">
        <f>IFERROR(VLOOKUP(E482,Списки!$E:$F,2,0)," ")</f>
        <v xml:space="preserve"> </v>
      </c>
      <c r="F483" s="312"/>
      <c r="G483" s="314"/>
      <c r="H483" s="315"/>
      <c r="I483" s="8"/>
      <c r="J483" s="8"/>
      <c r="K483" s="8"/>
      <c r="L483" s="8"/>
      <c r="M483" s="8"/>
      <c r="N483" s="8"/>
      <c r="O483" s="8"/>
      <c r="P483" s="8"/>
      <c r="Q483" s="8"/>
      <c r="R483" s="8"/>
      <c r="S483" s="8"/>
      <c r="T483" s="82"/>
    </row>
    <row r="484" spans="1:20" ht="13.5" customHeight="1" x14ac:dyDescent="0.25">
      <c r="A484" s="307">
        <v>3</v>
      </c>
      <c r="B484" s="307"/>
      <c r="C484" s="170"/>
      <c r="D484" s="309"/>
      <c r="E484" s="170"/>
      <c r="F484" s="311"/>
      <c r="G484" s="313"/>
      <c r="H484" s="315"/>
      <c r="I484" s="8"/>
      <c r="J484" s="8"/>
      <c r="K484" s="8"/>
      <c r="L484" s="8"/>
      <c r="M484" s="8"/>
      <c r="N484" s="8"/>
      <c r="O484" s="8"/>
      <c r="P484" s="8"/>
      <c r="Q484" s="8"/>
      <c r="R484" s="8"/>
      <c r="S484" s="8"/>
      <c r="T484" s="82"/>
    </row>
    <row r="485" spans="1:20" ht="13.5" customHeight="1" x14ac:dyDescent="0.25">
      <c r="A485" s="308"/>
      <c r="B485" s="308"/>
      <c r="C485" s="171" t="str">
        <f>IFERROR(VLOOKUP(C484,Списки!$E:$F,2,0)," ")</f>
        <v xml:space="preserve"> </v>
      </c>
      <c r="D485" s="310"/>
      <c r="E485" s="171" t="str">
        <f>IFERROR(VLOOKUP(E484,Списки!$E:$F,2,0)," ")</f>
        <v xml:space="preserve"> </v>
      </c>
      <c r="F485" s="312"/>
      <c r="G485" s="314"/>
      <c r="H485" s="315"/>
      <c r="I485" s="8"/>
      <c r="J485" s="8"/>
      <c r="K485" s="8"/>
      <c r="L485" s="8"/>
      <c r="M485" s="8"/>
      <c r="N485" s="8"/>
      <c r="O485" s="8"/>
      <c r="P485" s="8"/>
      <c r="Q485" s="8"/>
      <c r="R485" s="8"/>
      <c r="S485" s="8"/>
      <c r="T485" s="82"/>
    </row>
    <row r="486" spans="1:20" ht="13.5" customHeight="1" x14ac:dyDescent="0.25">
      <c r="A486" s="307">
        <v>4</v>
      </c>
      <c r="B486" s="307"/>
      <c r="C486" s="170"/>
      <c r="D486" s="309"/>
      <c r="E486" s="170"/>
      <c r="F486" s="311"/>
      <c r="G486" s="313"/>
      <c r="H486" s="315"/>
      <c r="I486" s="8"/>
      <c r="J486" s="8"/>
      <c r="K486" s="8"/>
      <c r="L486" s="8"/>
      <c r="M486" s="8"/>
      <c r="N486" s="8"/>
      <c r="O486" s="8"/>
      <c r="P486" s="8"/>
      <c r="Q486" s="8"/>
      <c r="R486" s="8"/>
      <c r="S486" s="8"/>
      <c r="T486" s="82"/>
    </row>
    <row r="487" spans="1:20" ht="13.5" customHeight="1" x14ac:dyDescent="0.25">
      <c r="A487" s="308"/>
      <c r="B487" s="308"/>
      <c r="C487" s="171" t="str">
        <f>IFERROR(VLOOKUP(C486,Списки!$E:$F,2,0)," ")</f>
        <v xml:space="preserve"> </v>
      </c>
      <c r="D487" s="310"/>
      <c r="E487" s="171" t="str">
        <f>IFERROR(VLOOKUP(E486,Списки!$E:$F,2,0)," ")</f>
        <v xml:space="preserve"> </v>
      </c>
      <c r="F487" s="312"/>
      <c r="G487" s="314"/>
      <c r="H487" s="315"/>
      <c r="I487" s="8"/>
      <c r="J487" s="8"/>
      <c r="K487" s="8"/>
      <c r="L487" s="8"/>
      <c r="M487" s="8"/>
      <c r="N487" s="8"/>
      <c r="O487" s="8"/>
      <c r="P487" s="8"/>
      <c r="Q487" s="8"/>
      <c r="R487" s="8"/>
      <c r="S487" s="8"/>
      <c r="T487" s="82"/>
    </row>
    <row r="488" spans="1:20" ht="13.5" customHeight="1" x14ac:dyDescent="0.25">
      <c r="A488" s="307">
        <v>5</v>
      </c>
      <c r="B488" s="307"/>
      <c r="C488" s="170"/>
      <c r="D488" s="309"/>
      <c r="E488" s="172"/>
      <c r="F488" s="311"/>
      <c r="G488" s="313"/>
      <c r="H488" s="315"/>
      <c r="I488" s="8"/>
      <c r="J488" s="8"/>
      <c r="K488" s="8"/>
      <c r="L488" s="8"/>
      <c r="M488" s="8"/>
      <c r="N488" s="8"/>
      <c r="O488" s="8"/>
      <c r="P488" s="8"/>
      <c r="Q488" s="8"/>
      <c r="R488" s="8"/>
      <c r="S488" s="8"/>
      <c r="T488" s="82"/>
    </row>
    <row r="489" spans="1:20" ht="13.5" customHeight="1" x14ac:dyDescent="0.25">
      <c r="A489" s="308"/>
      <c r="B489" s="308"/>
      <c r="C489" s="171" t="str">
        <f>IFERROR(VLOOKUP(C488,Списки!$E:$F,2,0)," ")</f>
        <v xml:space="preserve"> </v>
      </c>
      <c r="D489" s="310"/>
      <c r="E489" s="172" t="str">
        <f>IFERROR(VLOOKUP(E488,Списки!$E:$F,2,0)," ")</f>
        <v xml:space="preserve"> </v>
      </c>
      <c r="F489" s="312"/>
      <c r="G489" s="314"/>
      <c r="H489" s="315"/>
      <c r="I489" s="8"/>
      <c r="J489" s="8"/>
      <c r="K489" s="8"/>
      <c r="L489" s="8"/>
      <c r="M489" s="8"/>
      <c r="N489" s="8"/>
      <c r="O489" s="8"/>
      <c r="P489" s="8"/>
      <c r="Q489" s="8"/>
      <c r="R489" s="8"/>
      <c r="S489" s="8"/>
      <c r="T489" s="82"/>
    </row>
    <row r="490" spans="1:20" ht="13.5" customHeight="1" x14ac:dyDescent="0.25">
      <c r="A490" s="307">
        <v>6</v>
      </c>
      <c r="B490" s="307"/>
      <c r="C490" s="170"/>
      <c r="D490" s="309"/>
      <c r="E490" s="170"/>
      <c r="F490" s="311"/>
      <c r="G490" s="313"/>
      <c r="H490" s="315"/>
      <c r="I490" s="8"/>
      <c r="J490" s="8"/>
      <c r="K490" s="8"/>
      <c r="L490" s="8"/>
      <c r="M490" s="8"/>
      <c r="N490" s="8"/>
      <c r="O490" s="8"/>
      <c r="P490" s="8"/>
      <c r="Q490" s="8"/>
      <c r="R490" s="8"/>
      <c r="S490" s="8"/>
      <c r="T490" s="82"/>
    </row>
    <row r="491" spans="1:20" ht="13.5" customHeight="1" x14ac:dyDescent="0.25">
      <c r="A491" s="308"/>
      <c r="B491" s="308"/>
      <c r="C491" s="171" t="str">
        <f>IFERROR(VLOOKUP(C490,Списки!$E:$F,2,0)," ")</f>
        <v xml:space="preserve"> </v>
      </c>
      <c r="D491" s="310"/>
      <c r="E491" s="179" t="str">
        <f>IFERROR(VLOOKUP(E490,Списки!$E:$F,2,0)," ")</f>
        <v xml:space="preserve"> </v>
      </c>
      <c r="F491" s="312"/>
      <c r="G491" s="314"/>
      <c r="H491" s="315"/>
      <c r="I491" s="8"/>
      <c r="J491" s="8"/>
      <c r="K491" s="8"/>
      <c r="L491" s="8"/>
      <c r="M491" s="8"/>
      <c r="N491" s="8"/>
      <c r="O491" s="8"/>
      <c r="P491" s="8"/>
      <c r="Q491" s="8"/>
      <c r="R491" s="8"/>
      <c r="S491" s="8"/>
      <c r="T491" s="82"/>
    </row>
    <row r="492" spans="1:20" ht="13.5" customHeight="1" x14ac:dyDescent="0.25">
      <c r="A492" s="307">
        <v>7</v>
      </c>
      <c r="B492" s="307"/>
      <c r="C492" s="170"/>
      <c r="D492" s="309"/>
      <c r="E492" s="170"/>
      <c r="F492" s="311"/>
      <c r="G492" s="313"/>
      <c r="H492" s="315"/>
      <c r="I492" s="8"/>
      <c r="J492" s="8"/>
      <c r="K492" s="8"/>
      <c r="L492" s="8"/>
      <c r="M492" s="8"/>
      <c r="N492" s="8"/>
      <c r="O492" s="8"/>
      <c r="P492" s="8"/>
      <c r="Q492" s="8"/>
      <c r="R492" s="8"/>
      <c r="S492" s="8"/>
      <c r="T492" s="82"/>
    </row>
    <row r="493" spans="1:20" ht="13.5" customHeight="1" x14ac:dyDescent="0.25">
      <c r="A493" s="308"/>
      <c r="B493" s="308"/>
      <c r="C493" s="179" t="str">
        <f>IFERROR(VLOOKUP(C492,Списки!$E:$F,2,0)," ")</f>
        <v xml:space="preserve"> </v>
      </c>
      <c r="D493" s="310"/>
      <c r="E493" s="171" t="str">
        <f>IFERROR(VLOOKUP(E492,Списки!$E:$F,2,0)," ")</f>
        <v xml:space="preserve"> </v>
      </c>
      <c r="F493" s="312"/>
      <c r="G493" s="314"/>
      <c r="H493" s="315"/>
      <c r="I493" s="8"/>
      <c r="J493" s="8"/>
      <c r="K493" s="8"/>
      <c r="L493" s="8"/>
      <c r="M493" s="8"/>
      <c r="N493" s="8"/>
      <c r="O493" s="8"/>
      <c r="P493" s="8"/>
      <c r="Q493" s="8"/>
      <c r="R493" s="8"/>
      <c r="S493" s="8"/>
      <c r="T493" s="82"/>
    </row>
    <row r="494" spans="1:20" ht="13.5" customHeight="1" x14ac:dyDescent="0.25">
      <c r="A494" s="307">
        <v>8</v>
      </c>
      <c r="B494" s="307"/>
      <c r="C494" s="170"/>
      <c r="D494" s="309"/>
      <c r="E494" s="170"/>
      <c r="F494" s="311"/>
      <c r="G494" s="313"/>
      <c r="H494" s="315"/>
      <c r="I494" s="8"/>
      <c r="J494" s="8"/>
      <c r="K494" s="8"/>
      <c r="L494" s="8"/>
      <c r="M494" s="8"/>
      <c r="N494" s="8"/>
      <c r="O494" s="8"/>
      <c r="P494" s="8"/>
      <c r="Q494" s="8"/>
      <c r="R494" s="8"/>
      <c r="S494" s="8"/>
      <c r="T494" s="82"/>
    </row>
    <row r="495" spans="1:20" ht="13.5" customHeight="1" x14ac:dyDescent="0.25">
      <c r="A495" s="308"/>
      <c r="B495" s="308"/>
      <c r="C495" s="179" t="str">
        <f>IFERROR(VLOOKUP(C494,Списки!$E:$F,2,0)," ")</f>
        <v xml:space="preserve"> </v>
      </c>
      <c r="D495" s="310"/>
      <c r="E495" s="171" t="str">
        <f>IFERROR(VLOOKUP(E494,Списки!$E:$F,2,0)," ")</f>
        <v xml:space="preserve"> </v>
      </c>
      <c r="F495" s="312"/>
      <c r="G495" s="314"/>
      <c r="H495" s="315"/>
      <c r="I495" s="8"/>
      <c r="J495" s="8"/>
      <c r="K495" s="8"/>
      <c r="L495" s="8"/>
      <c r="M495" s="8"/>
      <c r="N495" s="8"/>
      <c r="O495" s="8"/>
      <c r="P495" s="8"/>
      <c r="Q495" s="8"/>
      <c r="R495" s="8"/>
      <c r="S495" s="8"/>
      <c r="T495" s="82"/>
    </row>
    <row r="496" spans="1:20" ht="13.5" customHeight="1" x14ac:dyDescent="0.25">
      <c r="A496" s="307">
        <v>9</v>
      </c>
      <c r="B496" s="307"/>
      <c r="C496" s="170"/>
      <c r="D496" s="309"/>
      <c r="E496" s="170"/>
      <c r="F496" s="311"/>
      <c r="G496" s="313"/>
      <c r="H496" s="315"/>
      <c r="I496" s="8"/>
      <c r="J496" s="8"/>
      <c r="K496" s="8"/>
      <c r="L496" s="8"/>
      <c r="M496" s="8"/>
      <c r="N496" s="8"/>
      <c r="O496" s="8"/>
      <c r="P496" s="8"/>
      <c r="Q496" s="8"/>
      <c r="R496" s="8"/>
      <c r="S496" s="8"/>
      <c r="T496" s="82"/>
    </row>
    <row r="497" spans="1:20" ht="13.5" customHeight="1" x14ac:dyDescent="0.25">
      <c r="A497" s="308"/>
      <c r="B497" s="308"/>
      <c r="C497" s="171" t="str">
        <f>IFERROR(VLOOKUP(C496,Списки!$E:$F,2,0)," ")</f>
        <v xml:space="preserve"> </v>
      </c>
      <c r="D497" s="310"/>
      <c r="E497" s="171" t="str">
        <f>IFERROR(VLOOKUP(E496,Списки!$E:$F,2,0)," ")</f>
        <v xml:space="preserve"> </v>
      </c>
      <c r="F497" s="312"/>
      <c r="G497" s="314"/>
      <c r="H497" s="315"/>
      <c r="I497" s="8"/>
      <c r="J497" s="8"/>
      <c r="K497" s="8"/>
      <c r="L497" s="8"/>
      <c r="M497" s="8"/>
      <c r="N497" s="8"/>
      <c r="O497" s="8"/>
      <c r="P497" s="8"/>
      <c r="Q497" s="8"/>
      <c r="R497" s="8"/>
      <c r="S497" s="8"/>
      <c r="T497" s="82"/>
    </row>
    <row r="498" spans="1:20" ht="13.5" customHeight="1" x14ac:dyDescent="0.25">
      <c r="A498" s="307">
        <v>10</v>
      </c>
      <c r="B498" s="307"/>
      <c r="C498" s="170"/>
      <c r="D498" s="309"/>
      <c r="E498" s="170"/>
      <c r="F498" s="311"/>
      <c r="G498" s="313"/>
      <c r="H498" s="315"/>
      <c r="I498" s="8"/>
      <c r="J498" s="8"/>
      <c r="K498" s="8"/>
      <c r="L498" s="8"/>
      <c r="M498" s="8"/>
      <c r="N498" s="8"/>
      <c r="O498" s="8"/>
      <c r="P498" s="8"/>
      <c r="Q498" s="8"/>
      <c r="R498" s="8"/>
      <c r="S498" s="8"/>
      <c r="T498" s="82"/>
    </row>
    <row r="499" spans="1:20" ht="13.5" customHeight="1" x14ac:dyDescent="0.25">
      <c r="A499" s="308"/>
      <c r="B499" s="308"/>
      <c r="C499" s="171" t="str">
        <f>IFERROR(VLOOKUP(C498,Списки!$E:$F,2,0)," ")</f>
        <v xml:space="preserve"> </v>
      </c>
      <c r="D499" s="310"/>
      <c r="E499" s="171" t="str">
        <f>IFERROR(VLOOKUP(E498,Списки!$E:$F,2,0)," ")</f>
        <v xml:space="preserve"> </v>
      </c>
      <c r="F499" s="312"/>
      <c r="G499" s="314"/>
      <c r="H499" s="315"/>
      <c r="I499" s="8"/>
      <c r="J499" s="8"/>
      <c r="K499" s="8"/>
      <c r="L499" s="8"/>
      <c r="M499" s="8"/>
      <c r="N499" s="8"/>
      <c r="O499" s="8"/>
      <c r="P499" s="8"/>
      <c r="Q499" s="8"/>
      <c r="R499" s="8"/>
      <c r="S499" s="8"/>
      <c r="T499" s="82"/>
    </row>
    <row r="500" spans="1:20" ht="13.5" customHeight="1" x14ac:dyDescent="0.25">
      <c r="A500" s="307">
        <v>11</v>
      </c>
      <c r="B500" s="307"/>
      <c r="C500" s="170"/>
      <c r="D500" s="309"/>
      <c r="E500" s="170"/>
      <c r="F500" s="311"/>
      <c r="G500" s="313"/>
      <c r="H500" s="315"/>
      <c r="I500" s="8"/>
      <c r="J500" s="8"/>
      <c r="K500" s="8"/>
      <c r="L500" s="8"/>
      <c r="M500" s="8"/>
      <c r="N500" s="8"/>
      <c r="O500" s="8"/>
      <c r="P500" s="8"/>
      <c r="Q500" s="8"/>
      <c r="R500" s="8"/>
      <c r="S500" s="8"/>
      <c r="T500" s="82"/>
    </row>
    <row r="501" spans="1:20" ht="13.5" customHeight="1" x14ac:dyDescent="0.25">
      <c r="A501" s="308"/>
      <c r="B501" s="308"/>
      <c r="C501" s="171" t="str">
        <f>IFERROR(VLOOKUP(C500,Списки!$E:$F,2,0)," ")</f>
        <v xml:space="preserve"> </v>
      </c>
      <c r="D501" s="310"/>
      <c r="E501" s="171" t="str">
        <f>IFERROR(VLOOKUP(E500,Списки!$E:$F,2,0)," ")</f>
        <v xml:space="preserve"> </v>
      </c>
      <c r="F501" s="312"/>
      <c r="G501" s="314"/>
      <c r="H501" s="315"/>
      <c r="I501" s="8"/>
      <c r="J501" s="8"/>
      <c r="K501" s="8"/>
      <c r="L501" s="8"/>
      <c r="M501" s="8"/>
      <c r="N501" s="8"/>
      <c r="O501" s="8"/>
      <c r="P501" s="8"/>
      <c r="Q501" s="8"/>
      <c r="R501" s="8"/>
      <c r="S501" s="8"/>
      <c r="T501" s="82"/>
    </row>
    <row r="502" spans="1:20" ht="13.5" customHeight="1" x14ac:dyDescent="0.25">
      <c r="A502" s="307">
        <v>12</v>
      </c>
      <c r="B502" s="307"/>
      <c r="C502" s="170"/>
      <c r="D502" s="309"/>
      <c r="E502" s="170"/>
      <c r="F502" s="311"/>
      <c r="G502" s="313"/>
      <c r="H502" s="315"/>
      <c r="I502" s="8"/>
      <c r="J502" s="8"/>
      <c r="K502" s="8"/>
      <c r="L502" s="8"/>
      <c r="M502" s="8"/>
      <c r="N502" s="8"/>
      <c r="O502" s="8"/>
      <c r="P502" s="8"/>
      <c r="Q502" s="8"/>
      <c r="R502" s="8"/>
      <c r="S502" s="8"/>
      <c r="T502" s="82"/>
    </row>
    <row r="503" spans="1:20" ht="13.5" customHeight="1" x14ac:dyDescent="0.25">
      <c r="A503" s="308"/>
      <c r="B503" s="308"/>
      <c r="C503" s="171" t="str">
        <f>IFERROR(VLOOKUP(C502,Списки!$E:$F,2,0)," ")</f>
        <v xml:space="preserve"> </v>
      </c>
      <c r="D503" s="310"/>
      <c r="E503" s="171" t="str">
        <f>IFERROR(VLOOKUP(E502,Списки!$E:$F,2,0)," ")</f>
        <v xml:space="preserve"> </v>
      </c>
      <c r="F503" s="312"/>
      <c r="G503" s="314"/>
      <c r="H503" s="315"/>
      <c r="I503" s="8"/>
      <c r="J503" s="8"/>
      <c r="K503" s="8"/>
      <c r="L503" s="8"/>
      <c r="M503" s="8"/>
      <c r="N503" s="8"/>
      <c r="O503" s="8"/>
      <c r="P503" s="8"/>
      <c r="Q503" s="8"/>
      <c r="R503" s="8"/>
      <c r="S503" s="8"/>
      <c r="T503" s="82"/>
    </row>
    <row r="504" spans="1:20" ht="13.5" customHeight="1" x14ac:dyDescent="0.25">
      <c r="A504" s="307">
        <v>13</v>
      </c>
      <c r="B504" s="307"/>
      <c r="C504" s="170"/>
      <c r="D504" s="309"/>
      <c r="E504" s="170"/>
      <c r="F504" s="311"/>
      <c r="G504" s="313"/>
      <c r="H504" s="315"/>
      <c r="I504" s="8"/>
      <c r="J504" s="8"/>
      <c r="K504" s="8"/>
      <c r="L504" s="8"/>
      <c r="M504" s="8"/>
      <c r="N504" s="8"/>
      <c r="O504" s="8"/>
      <c r="P504" s="8"/>
      <c r="Q504" s="8"/>
      <c r="R504" s="8"/>
      <c r="S504" s="8"/>
      <c r="T504" s="82"/>
    </row>
    <row r="505" spans="1:20" ht="13.5" customHeight="1" x14ac:dyDescent="0.25">
      <c r="A505" s="308"/>
      <c r="B505" s="308"/>
      <c r="C505" s="171" t="str">
        <f>IFERROR(VLOOKUP(C504,Списки!$E:$F,2,0)," ")</f>
        <v xml:space="preserve"> </v>
      </c>
      <c r="D505" s="310"/>
      <c r="E505" s="171" t="str">
        <f>IFERROR(VLOOKUP(E504,Списки!$E:$F,2,0)," ")</f>
        <v xml:space="preserve"> </v>
      </c>
      <c r="F505" s="312"/>
      <c r="G505" s="314"/>
      <c r="H505" s="315"/>
      <c r="I505" s="8"/>
      <c r="J505" s="8"/>
      <c r="K505" s="8"/>
      <c r="L505" s="8"/>
      <c r="M505" s="8"/>
      <c r="N505" s="8"/>
      <c r="O505" s="8"/>
      <c r="P505" s="8"/>
      <c r="Q505" s="8"/>
      <c r="R505" s="8"/>
      <c r="S505" s="8"/>
      <c r="T505" s="82"/>
    </row>
    <row r="506" spans="1:20" ht="13.5" customHeight="1" x14ac:dyDescent="0.25">
      <c r="A506" s="307">
        <v>14</v>
      </c>
      <c r="B506" s="307"/>
      <c r="C506" s="170"/>
      <c r="D506" s="309"/>
      <c r="E506" s="170"/>
      <c r="F506" s="311"/>
      <c r="G506" s="313"/>
      <c r="H506" s="315"/>
      <c r="I506" s="8"/>
      <c r="J506" s="8"/>
      <c r="K506" s="8"/>
      <c r="L506" s="8"/>
      <c r="M506" s="8"/>
      <c r="N506" s="8"/>
      <c r="O506" s="8"/>
      <c r="P506" s="8"/>
      <c r="Q506" s="8"/>
      <c r="R506" s="8"/>
      <c r="S506" s="8"/>
      <c r="T506" s="82"/>
    </row>
    <row r="507" spans="1:20" ht="13.5" customHeight="1" x14ac:dyDescent="0.25">
      <c r="A507" s="308"/>
      <c r="B507" s="308"/>
      <c r="C507" s="171" t="str">
        <f>IFERROR(VLOOKUP(C506,Списки!$E:$F,2,0)," ")</f>
        <v xml:space="preserve"> </v>
      </c>
      <c r="D507" s="310"/>
      <c r="E507" s="171" t="str">
        <f>IFERROR(VLOOKUP(E506,Списки!$E:$F,2,0)," ")</f>
        <v xml:space="preserve"> </v>
      </c>
      <c r="F507" s="312"/>
      <c r="G507" s="314"/>
      <c r="H507" s="315"/>
      <c r="I507" s="8"/>
      <c r="J507" s="8"/>
      <c r="K507" s="8"/>
      <c r="L507" s="8"/>
      <c r="M507" s="8"/>
      <c r="N507" s="8"/>
      <c r="O507" s="8"/>
      <c r="P507" s="8"/>
      <c r="Q507" s="8"/>
      <c r="R507" s="8"/>
      <c r="S507" s="8"/>
      <c r="T507" s="82"/>
    </row>
    <row r="508" spans="1:20" ht="13.5" customHeight="1" x14ac:dyDescent="0.25">
      <c r="A508" s="307">
        <v>15</v>
      </c>
      <c r="B508" s="307"/>
      <c r="C508" s="170"/>
      <c r="D508" s="309"/>
      <c r="E508" s="170"/>
      <c r="F508" s="311"/>
      <c r="G508" s="313"/>
      <c r="H508" s="315"/>
      <c r="I508" s="8"/>
      <c r="J508" s="8"/>
      <c r="K508" s="8"/>
      <c r="L508" s="8"/>
      <c r="M508" s="8"/>
      <c r="N508" s="8"/>
      <c r="O508" s="8"/>
      <c r="P508" s="8"/>
      <c r="Q508" s="8"/>
      <c r="R508" s="8"/>
      <c r="S508" s="8"/>
      <c r="T508" s="82"/>
    </row>
    <row r="509" spans="1:20" ht="13.5" customHeight="1" x14ac:dyDescent="0.25">
      <c r="A509" s="308"/>
      <c r="B509" s="308"/>
      <c r="C509" s="171" t="str">
        <f>IFERROR(VLOOKUP(C508,Списки!$E:$F,2,0)," ")</f>
        <v xml:space="preserve"> </v>
      </c>
      <c r="D509" s="310"/>
      <c r="E509" s="171" t="str">
        <f>IFERROR(VLOOKUP(E508,Списки!$E:$F,2,0)," ")</f>
        <v xml:space="preserve"> </v>
      </c>
      <c r="F509" s="312"/>
      <c r="G509" s="314"/>
      <c r="H509" s="315"/>
      <c r="I509" s="8"/>
      <c r="J509" s="8"/>
      <c r="K509" s="8"/>
      <c r="L509" s="8"/>
      <c r="M509" s="8"/>
      <c r="N509" s="8"/>
      <c r="O509" s="8"/>
      <c r="P509" s="8"/>
      <c r="Q509" s="8"/>
      <c r="R509" s="8"/>
      <c r="S509" s="8"/>
      <c r="T509" s="82"/>
    </row>
    <row r="510" spans="1:20" x14ac:dyDescent="0.25">
      <c r="A510" s="36"/>
      <c r="B510" s="37"/>
      <c r="C510" s="173"/>
      <c r="D510" s="173"/>
      <c r="E510" s="174" t="s">
        <v>30</v>
      </c>
      <c r="F510" s="39">
        <f>IFERROR(SUM(IFERROR(IF((LOOKUP(9E+307,F480:F509))&gt;$M$39,(LOOKUP(9E+307,F480:F509))-$M$39,IF((LOOKUP(9E+307,F480:F509))&lt;0.166666667,0+(LOOKUP(9E+307,F480:F509))+1-$M$39,0)),0),(IF(AND(IF(D480,$M$38-D480,0)&gt;0,F480,F480&gt;D480),$M$38-D480,IF(AND(D480,F480,D480&gt;F480),"error",0)))),"ОШИБКА")</f>
        <v>0</v>
      </c>
      <c r="G510" s="40" t="s">
        <v>27</v>
      </c>
      <c r="H510" s="38">
        <f>SUM(H480:H509)</f>
        <v>0</v>
      </c>
      <c r="I510" s="8"/>
      <c r="J510" s="8"/>
      <c r="K510" s="8"/>
      <c r="L510" s="8"/>
      <c r="M510" s="8"/>
      <c r="N510" s="8"/>
      <c r="O510" s="8"/>
      <c r="P510" s="8"/>
      <c r="Q510" s="8"/>
      <c r="R510" s="8"/>
      <c r="S510" s="8"/>
      <c r="T510" s="82"/>
    </row>
    <row r="511" spans="1:20" ht="15.75" x14ac:dyDescent="0.25">
      <c r="A511" s="316">
        <f>DATE(K1,J1,16)</f>
        <v>43846</v>
      </c>
      <c r="B511" s="316"/>
      <c r="C511" s="316"/>
      <c r="D511" s="316"/>
      <c r="E511" s="316"/>
      <c r="F511" s="316"/>
      <c r="G511" s="316"/>
      <c r="H511" s="316"/>
      <c r="I511" s="8"/>
      <c r="J511" s="8"/>
      <c r="K511" s="8"/>
      <c r="L511" s="8"/>
      <c r="M511" s="8"/>
      <c r="N511" s="8"/>
      <c r="O511" s="8"/>
      <c r="P511" s="8"/>
      <c r="Q511" s="8"/>
      <c r="R511" s="8"/>
      <c r="S511" s="8"/>
      <c r="T511" s="82"/>
    </row>
    <row r="512" spans="1:20" ht="13.5" customHeight="1" x14ac:dyDescent="0.25">
      <c r="A512" s="318"/>
      <c r="B512" s="320" t="s">
        <v>34</v>
      </c>
      <c r="C512" s="175" t="s">
        <v>39</v>
      </c>
      <c r="D512" s="322" t="s">
        <v>36</v>
      </c>
      <c r="E512" s="175" t="s">
        <v>37</v>
      </c>
      <c r="F512" s="320" t="s">
        <v>36</v>
      </c>
      <c r="G512" s="324" t="s">
        <v>35</v>
      </c>
      <c r="H512" s="315" t="s">
        <v>40</v>
      </c>
      <c r="I512" s="8"/>
      <c r="J512" s="8"/>
      <c r="K512" s="8"/>
      <c r="L512" s="8"/>
      <c r="M512" s="8"/>
      <c r="N512" s="8"/>
      <c r="O512" s="8"/>
      <c r="P512" s="8"/>
      <c r="Q512" s="8"/>
      <c r="R512" s="8"/>
      <c r="S512" s="8"/>
      <c r="T512" s="82"/>
    </row>
    <row r="513" spans="1:20" ht="13.5" customHeight="1" x14ac:dyDescent="0.25">
      <c r="A513" s="319"/>
      <c r="B513" s="321"/>
      <c r="C513" s="169" t="s">
        <v>38</v>
      </c>
      <c r="D513" s="323"/>
      <c r="E513" s="169" t="s">
        <v>38</v>
      </c>
      <c r="F513" s="321"/>
      <c r="G513" s="325"/>
      <c r="H513" s="315"/>
      <c r="I513" s="8"/>
      <c r="J513" s="8"/>
      <c r="K513" s="8"/>
      <c r="L513" s="8"/>
      <c r="M513" s="8"/>
      <c r="N513" s="8"/>
      <c r="O513" s="8"/>
      <c r="P513" s="8"/>
      <c r="Q513" s="8"/>
      <c r="R513" s="8"/>
      <c r="S513" s="8"/>
      <c r="T513" s="82"/>
    </row>
    <row r="514" spans="1:20" ht="13.5" customHeight="1" x14ac:dyDescent="0.25">
      <c r="A514" s="307">
        <v>1</v>
      </c>
      <c r="B514" s="307"/>
      <c r="C514" s="170" t="s">
        <v>43</v>
      </c>
      <c r="D514" s="309"/>
      <c r="E514" s="170" t="s">
        <v>44</v>
      </c>
      <c r="F514" s="311"/>
      <c r="G514" s="313"/>
      <c r="H514" s="315"/>
      <c r="I514" s="8"/>
      <c r="J514" s="8"/>
      <c r="K514" s="8"/>
      <c r="L514" s="8"/>
      <c r="M514" s="8"/>
      <c r="N514" s="8"/>
      <c r="O514" s="8"/>
      <c r="P514" s="8"/>
      <c r="Q514" s="8"/>
      <c r="R514" s="8"/>
      <c r="S514" s="8"/>
      <c r="T514" s="82"/>
    </row>
    <row r="515" spans="1:20" ht="13.5" customHeight="1" x14ac:dyDescent="0.25">
      <c r="A515" s="308"/>
      <c r="B515" s="308"/>
      <c r="C515" s="171" t="str">
        <f>IFERROR(VLOOKUP(C514,Списки!$E:$F,2,0)," ")</f>
        <v>SAVUSHKINA ST 128</v>
      </c>
      <c r="D515" s="310"/>
      <c r="E515" s="171" t="str">
        <f>IFERROR(VLOOKUP(E514,Списки!$E:$F,2,0)," ")</f>
        <v>LEVASHOVSKOE HWY 20</v>
      </c>
      <c r="F515" s="312"/>
      <c r="G515" s="314"/>
      <c r="H515" s="315"/>
      <c r="I515" s="8"/>
      <c r="J515" s="8"/>
      <c r="K515" s="8"/>
      <c r="L515" s="8"/>
      <c r="M515" s="8"/>
      <c r="N515" s="8"/>
      <c r="O515" s="8"/>
      <c r="P515" s="8"/>
      <c r="Q515" s="8"/>
      <c r="R515" s="8"/>
      <c r="S515" s="8"/>
      <c r="T515" s="82"/>
    </row>
    <row r="516" spans="1:20" ht="13.5" customHeight="1" x14ac:dyDescent="0.25">
      <c r="A516" s="307">
        <v>2</v>
      </c>
      <c r="B516" s="307"/>
      <c r="C516" s="170" t="s">
        <v>44</v>
      </c>
      <c r="D516" s="309"/>
      <c r="E516" s="170"/>
      <c r="F516" s="311"/>
      <c r="G516" s="313"/>
      <c r="H516" s="315"/>
      <c r="I516" s="8"/>
      <c r="J516" s="8"/>
      <c r="K516" s="8"/>
      <c r="L516" s="8"/>
      <c r="M516" s="8"/>
      <c r="N516" s="8"/>
      <c r="O516" s="8"/>
      <c r="P516" s="8"/>
      <c r="Q516" s="8"/>
      <c r="R516" s="8"/>
      <c r="S516" s="8"/>
      <c r="T516" s="82"/>
    </row>
    <row r="517" spans="1:20" ht="13.5" customHeight="1" x14ac:dyDescent="0.25">
      <c r="A517" s="308"/>
      <c r="B517" s="308"/>
      <c r="C517" s="171" t="str">
        <f>IFERROR(VLOOKUP(C516,Списки!$E:$F,2,0)," ")</f>
        <v>LEVASHOVSKOE HWY 20</v>
      </c>
      <c r="D517" s="310"/>
      <c r="E517" s="171" t="str">
        <f>IFERROR(VLOOKUP(E516,Списки!$E:$F,2,0)," ")</f>
        <v xml:space="preserve"> </v>
      </c>
      <c r="F517" s="312"/>
      <c r="G517" s="314"/>
      <c r="H517" s="315"/>
      <c r="I517" s="8"/>
      <c r="J517" s="8"/>
      <c r="K517" s="8"/>
      <c r="L517" s="8"/>
      <c r="M517" s="8"/>
      <c r="N517" s="8"/>
      <c r="O517" s="8"/>
      <c r="P517" s="8"/>
      <c r="Q517" s="8"/>
      <c r="R517" s="8"/>
      <c r="S517" s="8"/>
      <c r="T517" s="82"/>
    </row>
    <row r="518" spans="1:20" ht="13.5" customHeight="1" x14ac:dyDescent="0.25">
      <c r="A518" s="307">
        <v>3</v>
      </c>
      <c r="B518" s="307"/>
      <c r="C518" s="170"/>
      <c r="D518" s="309"/>
      <c r="E518" s="170"/>
      <c r="F518" s="311"/>
      <c r="G518" s="313"/>
      <c r="H518" s="315"/>
      <c r="I518" s="8"/>
      <c r="J518" s="8"/>
      <c r="K518" s="8"/>
      <c r="L518" s="8"/>
      <c r="M518" s="8"/>
      <c r="N518" s="8"/>
      <c r="O518" s="8"/>
      <c r="P518" s="8"/>
      <c r="Q518" s="8"/>
      <c r="R518" s="8"/>
      <c r="S518" s="8"/>
      <c r="T518" s="82"/>
    </row>
    <row r="519" spans="1:20" ht="13.5" customHeight="1" x14ac:dyDescent="0.25">
      <c r="A519" s="308"/>
      <c r="B519" s="308"/>
      <c r="C519" s="171" t="str">
        <f>IFERROR(VLOOKUP(C518,Списки!$E:$F,2,0)," ")</f>
        <v xml:space="preserve"> </v>
      </c>
      <c r="D519" s="310"/>
      <c r="E519" s="171" t="str">
        <f>IFERROR(VLOOKUP(E518,Списки!$E:$F,2,0)," ")</f>
        <v xml:space="preserve"> </v>
      </c>
      <c r="F519" s="312"/>
      <c r="G519" s="314"/>
      <c r="H519" s="315"/>
      <c r="I519" s="8"/>
      <c r="J519" s="8"/>
      <c r="K519" s="8"/>
      <c r="L519" s="8"/>
      <c r="M519" s="8"/>
      <c r="N519" s="8"/>
      <c r="O519" s="8"/>
      <c r="P519" s="8"/>
      <c r="Q519" s="8"/>
      <c r="R519" s="8"/>
      <c r="S519" s="8"/>
      <c r="T519" s="82"/>
    </row>
    <row r="520" spans="1:20" ht="13.5" customHeight="1" x14ac:dyDescent="0.25">
      <c r="A520" s="307">
        <v>4</v>
      </c>
      <c r="B520" s="307"/>
      <c r="C520" s="170"/>
      <c r="D520" s="309"/>
      <c r="E520" s="170"/>
      <c r="F520" s="311"/>
      <c r="G520" s="313"/>
      <c r="H520" s="315"/>
      <c r="I520" s="8"/>
      <c r="J520" s="8"/>
      <c r="K520" s="8"/>
      <c r="L520" s="8"/>
      <c r="M520" s="8"/>
      <c r="N520" s="8"/>
      <c r="O520" s="8"/>
      <c r="P520" s="8"/>
      <c r="Q520" s="8"/>
      <c r="R520" s="8"/>
      <c r="S520" s="8"/>
      <c r="T520" s="82"/>
    </row>
    <row r="521" spans="1:20" ht="13.5" customHeight="1" x14ac:dyDescent="0.25">
      <c r="A521" s="308"/>
      <c r="B521" s="308"/>
      <c r="C521" s="171" t="str">
        <f>IFERROR(VLOOKUP(C520,Списки!$E:$F,2,0)," ")</f>
        <v xml:space="preserve"> </v>
      </c>
      <c r="D521" s="310"/>
      <c r="E521" s="171" t="str">
        <f>IFERROR(VLOOKUP(E520,Списки!$E:$F,2,0)," ")</f>
        <v xml:space="preserve"> </v>
      </c>
      <c r="F521" s="312"/>
      <c r="G521" s="314"/>
      <c r="H521" s="315"/>
      <c r="I521" s="8"/>
      <c r="J521" s="8"/>
      <c r="K521" s="8"/>
      <c r="L521" s="8"/>
      <c r="M521" s="8"/>
      <c r="N521" s="8"/>
      <c r="O521" s="8"/>
      <c r="P521" s="8"/>
      <c r="Q521" s="8"/>
      <c r="R521" s="8"/>
      <c r="S521" s="8"/>
      <c r="T521" s="82"/>
    </row>
    <row r="522" spans="1:20" ht="13.5" customHeight="1" x14ac:dyDescent="0.25">
      <c r="A522" s="307">
        <v>5</v>
      </c>
      <c r="B522" s="307"/>
      <c r="C522" s="170"/>
      <c r="D522" s="309"/>
      <c r="E522" s="172"/>
      <c r="F522" s="311"/>
      <c r="G522" s="313"/>
      <c r="H522" s="315"/>
      <c r="I522" s="8"/>
      <c r="J522" s="8"/>
      <c r="K522" s="8"/>
      <c r="L522" s="8"/>
      <c r="M522" s="8"/>
      <c r="N522" s="8"/>
      <c r="O522" s="8"/>
      <c r="P522" s="8"/>
      <c r="Q522" s="8"/>
      <c r="R522" s="8"/>
      <c r="S522" s="8"/>
      <c r="T522" s="82"/>
    </row>
    <row r="523" spans="1:20" ht="13.5" customHeight="1" x14ac:dyDescent="0.25">
      <c r="A523" s="308"/>
      <c r="B523" s="308"/>
      <c r="C523" s="171" t="str">
        <f>IFERROR(VLOOKUP(C522,Списки!$E:$F,2,0)," ")</f>
        <v xml:space="preserve"> </v>
      </c>
      <c r="D523" s="310"/>
      <c r="E523" s="172" t="str">
        <f>IFERROR(VLOOKUP(E522,Списки!$E:$F,2,0)," ")</f>
        <v xml:space="preserve"> </v>
      </c>
      <c r="F523" s="312"/>
      <c r="G523" s="314"/>
      <c r="H523" s="315"/>
      <c r="I523" s="8"/>
      <c r="J523" s="8"/>
      <c r="K523" s="8"/>
      <c r="L523" s="8"/>
      <c r="M523" s="8"/>
      <c r="N523" s="8"/>
      <c r="O523" s="8"/>
      <c r="P523" s="8"/>
      <c r="Q523" s="8"/>
      <c r="R523" s="8"/>
      <c r="S523" s="8"/>
      <c r="T523" s="82"/>
    </row>
    <row r="524" spans="1:20" ht="13.5" customHeight="1" x14ac:dyDescent="0.25">
      <c r="A524" s="307">
        <v>6</v>
      </c>
      <c r="B524" s="307"/>
      <c r="C524" s="170"/>
      <c r="D524" s="309"/>
      <c r="E524" s="170"/>
      <c r="F524" s="311"/>
      <c r="G524" s="313"/>
      <c r="H524" s="315"/>
      <c r="I524" s="8"/>
      <c r="J524" s="8"/>
      <c r="K524" s="8"/>
      <c r="L524" s="8"/>
      <c r="M524" s="8"/>
      <c r="N524" s="8"/>
      <c r="O524" s="8"/>
      <c r="P524" s="8"/>
      <c r="Q524" s="8"/>
      <c r="R524" s="8"/>
      <c r="S524" s="8"/>
      <c r="T524" s="82"/>
    </row>
    <row r="525" spans="1:20" ht="13.5" customHeight="1" x14ac:dyDescent="0.25">
      <c r="A525" s="308"/>
      <c r="B525" s="308"/>
      <c r="C525" s="171" t="str">
        <f>IFERROR(VLOOKUP(C524,Списки!$E:$F,2,0)," ")</f>
        <v xml:space="preserve"> </v>
      </c>
      <c r="D525" s="310"/>
      <c r="E525" s="179" t="str">
        <f>IFERROR(VLOOKUP(E524,Списки!$E:$F,2,0)," ")</f>
        <v xml:space="preserve"> </v>
      </c>
      <c r="F525" s="312"/>
      <c r="G525" s="314"/>
      <c r="H525" s="315"/>
      <c r="I525" s="8"/>
      <c r="J525" s="8"/>
      <c r="K525" s="8"/>
      <c r="L525" s="8"/>
      <c r="M525" s="8"/>
      <c r="N525" s="8"/>
      <c r="O525" s="8"/>
      <c r="P525" s="8"/>
      <c r="Q525" s="8"/>
      <c r="R525" s="8"/>
      <c r="S525" s="8"/>
      <c r="T525" s="82"/>
    </row>
    <row r="526" spans="1:20" ht="13.5" customHeight="1" x14ac:dyDescent="0.25">
      <c r="A526" s="307">
        <v>7</v>
      </c>
      <c r="B526" s="307"/>
      <c r="C526" s="170"/>
      <c r="D526" s="309"/>
      <c r="E526" s="170"/>
      <c r="F526" s="311"/>
      <c r="G526" s="313"/>
      <c r="H526" s="315"/>
      <c r="I526" s="8"/>
      <c r="J526" s="8"/>
      <c r="K526" s="8"/>
      <c r="L526" s="8"/>
      <c r="M526" s="8"/>
      <c r="N526" s="8"/>
      <c r="O526" s="8"/>
      <c r="P526" s="8"/>
      <c r="Q526" s="8"/>
      <c r="R526" s="8"/>
      <c r="S526" s="8"/>
      <c r="T526" s="82"/>
    </row>
    <row r="527" spans="1:20" ht="13.5" customHeight="1" x14ac:dyDescent="0.25">
      <c r="A527" s="308"/>
      <c r="B527" s="308"/>
      <c r="C527" s="179" t="str">
        <f>IFERROR(VLOOKUP(C526,Списки!$E:$F,2,0)," ")</f>
        <v xml:space="preserve"> </v>
      </c>
      <c r="D527" s="310"/>
      <c r="E527" s="171" t="str">
        <f>IFERROR(VLOOKUP(E526,Списки!$E:$F,2,0)," ")</f>
        <v xml:space="preserve"> </v>
      </c>
      <c r="F527" s="312"/>
      <c r="G527" s="314"/>
      <c r="H527" s="315"/>
      <c r="I527" s="8"/>
      <c r="J527" s="8"/>
      <c r="K527" s="8"/>
      <c r="L527" s="8"/>
      <c r="M527" s="8"/>
      <c r="N527" s="8"/>
      <c r="O527" s="8"/>
      <c r="P527" s="8"/>
      <c r="Q527" s="8"/>
      <c r="R527" s="8"/>
      <c r="S527" s="8"/>
      <c r="T527" s="82"/>
    </row>
    <row r="528" spans="1:20" ht="13.5" customHeight="1" x14ac:dyDescent="0.25">
      <c r="A528" s="307">
        <v>8</v>
      </c>
      <c r="B528" s="307"/>
      <c r="C528" s="170"/>
      <c r="D528" s="309"/>
      <c r="E528" s="170"/>
      <c r="F528" s="311"/>
      <c r="G528" s="313"/>
      <c r="H528" s="315"/>
      <c r="I528" s="8"/>
      <c r="J528" s="8"/>
      <c r="K528" s="8"/>
      <c r="L528" s="8"/>
      <c r="M528" s="8"/>
      <c r="N528" s="8"/>
      <c r="O528" s="8"/>
      <c r="P528" s="8"/>
      <c r="Q528" s="8"/>
      <c r="R528" s="8"/>
      <c r="S528" s="8"/>
      <c r="T528" s="82"/>
    </row>
    <row r="529" spans="1:20" ht="13.5" customHeight="1" x14ac:dyDescent="0.25">
      <c r="A529" s="308"/>
      <c r="B529" s="308"/>
      <c r="C529" s="179" t="str">
        <f>IFERROR(VLOOKUP(C528,Списки!$E:$F,2,0)," ")</f>
        <v xml:space="preserve"> </v>
      </c>
      <c r="D529" s="310"/>
      <c r="E529" s="171" t="str">
        <f>IFERROR(VLOOKUP(E528,Списки!$E:$F,2,0)," ")</f>
        <v xml:space="preserve"> </v>
      </c>
      <c r="F529" s="312"/>
      <c r="G529" s="314"/>
      <c r="H529" s="315"/>
      <c r="I529" s="8"/>
      <c r="J529" s="8"/>
      <c r="K529" s="8"/>
      <c r="L529" s="8"/>
      <c r="M529" s="8"/>
      <c r="N529" s="8"/>
      <c r="O529" s="8"/>
      <c r="P529" s="8"/>
      <c r="Q529" s="8"/>
      <c r="R529" s="8"/>
      <c r="S529" s="8"/>
      <c r="T529" s="82"/>
    </row>
    <row r="530" spans="1:20" ht="13.5" customHeight="1" x14ac:dyDescent="0.25">
      <c r="A530" s="307">
        <v>9</v>
      </c>
      <c r="B530" s="307"/>
      <c r="C530" s="170"/>
      <c r="D530" s="309"/>
      <c r="E530" s="170"/>
      <c r="F530" s="311"/>
      <c r="G530" s="313"/>
      <c r="H530" s="315"/>
      <c r="I530" s="8"/>
      <c r="J530" s="8"/>
      <c r="K530" s="8"/>
      <c r="L530" s="8"/>
      <c r="M530" s="8"/>
      <c r="N530" s="8"/>
      <c r="O530" s="8"/>
      <c r="P530" s="8"/>
      <c r="Q530" s="8"/>
      <c r="R530" s="8"/>
      <c r="S530" s="8"/>
      <c r="T530" s="82"/>
    </row>
    <row r="531" spans="1:20" ht="13.5" customHeight="1" x14ac:dyDescent="0.25">
      <c r="A531" s="308"/>
      <c r="B531" s="308"/>
      <c r="C531" s="171" t="str">
        <f>IFERROR(VLOOKUP(C530,Списки!$E:$F,2,0)," ")</f>
        <v xml:space="preserve"> </v>
      </c>
      <c r="D531" s="310"/>
      <c r="E531" s="171" t="str">
        <f>IFERROR(VLOOKUP(E530,Списки!$E:$F,2,0)," ")</f>
        <v xml:space="preserve"> </v>
      </c>
      <c r="F531" s="312"/>
      <c r="G531" s="314"/>
      <c r="H531" s="315"/>
      <c r="I531" s="8"/>
      <c r="J531" s="8"/>
      <c r="K531" s="8"/>
      <c r="L531" s="8"/>
      <c r="M531" s="8"/>
      <c r="N531" s="8"/>
      <c r="O531" s="8"/>
      <c r="P531" s="8"/>
      <c r="Q531" s="8"/>
      <c r="R531" s="8"/>
      <c r="S531" s="8"/>
      <c r="T531" s="82"/>
    </row>
    <row r="532" spans="1:20" ht="13.5" customHeight="1" x14ac:dyDescent="0.25">
      <c r="A532" s="307">
        <v>10</v>
      </c>
      <c r="B532" s="307"/>
      <c r="C532" s="170"/>
      <c r="D532" s="309"/>
      <c r="E532" s="170"/>
      <c r="F532" s="311"/>
      <c r="G532" s="313"/>
      <c r="H532" s="315"/>
      <c r="I532" s="8"/>
      <c r="J532" s="8"/>
      <c r="K532" s="8"/>
      <c r="L532" s="8"/>
      <c r="M532" s="8"/>
      <c r="N532" s="8"/>
      <c r="O532" s="8"/>
      <c r="P532" s="8"/>
      <c r="Q532" s="8"/>
      <c r="R532" s="8"/>
      <c r="S532" s="8"/>
      <c r="T532" s="82"/>
    </row>
    <row r="533" spans="1:20" ht="13.5" customHeight="1" x14ac:dyDescent="0.25">
      <c r="A533" s="308"/>
      <c r="B533" s="308"/>
      <c r="C533" s="171" t="str">
        <f>IFERROR(VLOOKUP(C532,Списки!$E:$F,2,0)," ")</f>
        <v xml:space="preserve"> </v>
      </c>
      <c r="D533" s="310"/>
      <c r="E533" s="171" t="str">
        <f>IFERROR(VLOOKUP(E532,Списки!$E:$F,2,0)," ")</f>
        <v xml:space="preserve"> </v>
      </c>
      <c r="F533" s="312"/>
      <c r="G533" s="314"/>
      <c r="H533" s="315"/>
      <c r="I533" s="8"/>
      <c r="J533" s="8"/>
      <c r="K533" s="8"/>
      <c r="L533" s="8"/>
      <c r="M533" s="8"/>
      <c r="N533" s="8"/>
      <c r="O533" s="8"/>
      <c r="P533" s="8"/>
      <c r="Q533" s="8"/>
      <c r="R533" s="8"/>
      <c r="S533" s="8"/>
      <c r="T533" s="82"/>
    </row>
    <row r="534" spans="1:20" ht="13.5" customHeight="1" x14ac:dyDescent="0.25">
      <c r="A534" s="307">
        <v>11</v>
      </c>
      <c r="B534" s="307"/>
      <c r="C534" s="170"/>
      <c r="D534" s="309"/>
      <c r="E534" s="170"/>
      <c r="F534" s="311"/>
      <c r="G534" s="313"/>
      <c r="H534" s="315"/>
      <c r="I534" s="8"/>
      <c r="J534" s="8"/>
      <c r="K534" s="8"/>
      <c r="L534" s="8"/>
      <c r="M534" s="8"/>
      <c r="N534" s="8"/>
      <c r="O534" s="8"/>
      <c r="P534" s="8"/>
      <c r="Q534" s="8"/>
      <c r="R534" s="8"/>
      <c r="S534" s="8"/>
      <c r="T534" s="82"/>
    </row>
    <row r="535" spans="1:20" ht="13.5" customHeight="1" x14ac:dyDescent="0.25">
      <c r="A535" s="308"/>
      <c r="B535" s="308"/>
      <c r="C535" s="171" t="str">
        <f>IFERROR(VLOOKUP(C534,Списки!$E:$F,2,0)," ")</f>
        <v xml:space="preserve"> </v>
      </c>
      <c r="D535" s="310"/>
      <c r="E535" s="171" t="str">
        <f>IFERROR(VLOOKUP(E534,Списки!$E:$F,2,0)," ")</f>
        <v xml:space="preserve"> </v>
      </c>
      <c r="F535" s="312"/>
      <c r="G535" s="314"/>
      <c r="H535" s="315"/>
      <c r="I535" s="8"/>
      <c r="J535" s="8"/>
      <c r="K535" s="8"/>
      <c r="L535" s="8"/>
      <c r="M535" s="8"/>
      <c r="N535" s="8"/>
      <c r="O535" s="8"/>
      <c r="P535" s="8"/>
      <c r="Q535" s="8"/>
      <c r="R535" s="8"/>
      <c r="S535" s="8"/>
      <c r="T535" s="82"/>
    </row>
    <row r="536" spans="1:20" ht="13.5" customHeight="1" x14ac:dyDescent="0.25">
      <c r="A536" s="307">
        <v>12</v>
      </c>
      <c r="B536" s="307"/>
      <c r="C536" s="170"/>
      <c r="D536" s="309"/>
      <c r="E536" s="170"/>
      <c r="F536" s="311"/>
      <c r="G536" s="313"/>
      <c r="H536" s="315"/>
      <c r="I536" s="8"/>
      <c r="J536" s="8"/>
      <c r="K536" s="8"/>
      <c r="L536" s="8"/>
      <c r="M536" s="8"/>
      <c r="N536" s="8"/>
      <c r="O536" s="8"/>
      <c r="P536" s="8"/>
      <c r="Q536" s="8"/>
      <c r="R536" s="8"/>
      <c r="S536" s="8"/>
      <c r="T536" s="82"/>
    </row>
    <row r="537" spans="1:20" ht="13.5" customHeight="1" x14ac:dyDescent="0.25">
      <c r="A537" s="308"/>
      <c r="B537" s="308"/>
      <c r="C537" s="171" t="str">
        <f>IFERROR(VLOOKUP(C536,Списки!$E:$F,2,0)," ")</f>
        <v xml:space="preserve"> </v>
      </c>
      <c r="D537" s="310"/>
      <c r="E537" s="171" t="str">
        <f>IFERROR(VLOOKUP(E536,Списки!$E:$F,2,0)," ")</f>
        <v xml:space="preserve"> </v>
      </c>
      <c r="F537" s="312"/>
      <c r="G537" s="314"/>
      <c r="H537" s="315"/>
      <c r="I537" s="8"/>
      <c r="J537" s="8"/>
      <c r="K537" s="8"/>
      <c r="L537" s="8"/>
      <c r="M537" s="8"/>
      <c r="N537" s="8"/>
      <c r="O537" s="8"/>
      <c r="P537" s="8"/>
      <c r="Q537" s="8"/>
      <c r="R537" s="8"/>
      <c r="S537" s="8"/>
      <c r="T537" s="82"/>
    </row>
    <row r="538" spans="1:20" ht="13.5" customHeight="1" x14ac:dyDescent="0.25">
      <c r="A538" s="307">
        <v>13</v>
      </c>
      <c r="B538" s="307"/>
      <c r="C538" s="170"/>
      <c r="D538" s="309"/>
      <c r="E538" s="170"/>
      <c r="F538" s="311"/>
      <c r="G538" s="313"/>
      <c r="H538" s="315"/>
      <c r="I538" s="8"/>
      <c r="J538" s="8"/>
      <c r="K538" s="8"/>
      <c r="L538" s="8"/>
      <c r="M538" s="8"/>
      <c r="N538" s="8"/>
      <c r="O538" s="8"/>
      <c r="P538" s="8"/>
      <c r="Q538" s="8"/>
      <c r="R538" s="8"/>
      <c r="S538" s="8"/>
      <c r="T538" s="82"/>
    </row>
    <row r="539" spans="1:20" ht="13.5" customHeight="1" x14ac:dyDescent="0.25">
      <c r="A539" s="308"/>
      <c r="B539" s="308"/>
      <c r="C539" s="171" t="str">
        <f>IFERROR(VLOOKUP(C538,Списки!$E:$F,2,0)," ")</f>
        <v xml:space="preserve"> </v>
      </c>
      <c r="D539" s="310"/>
      <c r="E539" s="171" t="str">
        <f>IFERROR(VLOOKUP(E538,Списки!$E:$F,2,0)," ")</f>
        <v xml:space="preserve"> </v>
      </c>
      <c r="F539" s="312"/>
      <c r="G539" s="314"/>
      <c r="H539" s="315"/>
      <c r="I539" s="8"/>
      <c r="J539" s="8"/>
      <c r="K539" s="8"/>
      <c r="L539" s="8"/>
      <c r="M539" s="8"/>
      <c r="N539" s="8"/>
      <c r="O539" s="8"/>
      <c r="P539" s="8"/>
      <c r="Q539" s="8"/>
      <c r="R539" s="8"/>
      <c r="S539" s="8"/>
      <c r="T539" s="82"/>
    </row>
    <row r="540" spans="1:20" ht="13.5" customHeight="1" x14ac:dyDescent="0.25">
      <c r="A540" s="307">
        <v>14</v>
      </c>
      <c r="B540" s="307"/>
      <c r="C540" s="170"/>
      <c r="D540" s="309"/>
      <c r="E540" s="170"/>
      <c r="F540" s="311"/>
      <c r="G540" s="313"/>
      <c r="H540" s="315"/>
      <c r="I540" s="8"/>
      <c r="J540" s="8"/>
      <c r="K540" s="8"/>
      <c r="L540" s="8"/>
      <c r="M540" s="8"/>
      <c r="N540" s="8"/>
      <c r="O540" s="8"/>
      <c r="P540" s="8"/>
      <c r="Q540" s="8"/>
      <c r="R540" s="8"/>
      <c r="S540" s="8"/>
      <c r="T540" s="82"/>
    </row>
    <row r="541" spans="1:20" ht="13.5" customHeight="1" x14ac:dyDescent="0.25">
      <c r="A541" s="308"/>
      <c r="B541" s="308"/>
      <c r="C541" s="171" t="str">
        <f>IFERROR(VLOOKUP(C540,Списки!$E:$F,2,0)," ")</f>
        <v xml:space="preserve"> </v>
      </c>
      <c r="D541" s="310"/>
      <c r="E541" s="171" t="str">
        <f>IFERROR(VLOOKUP(E540,Списки!$E:$F,2,0)," ")</f>
        <v xml:space="preserve"> </v>
      </c>
      <c r="F541" s="312"/>
      <c r="G541" s="314"/>
      <c r="H541" s="315"/>
      <c r="I541" s="8"/>
      <c r="J541" s="8"/>
      <c r="K541" s="8"/>
      <c r="L541" s="8"/>
      <c r="M541" s="8"/>
      <c r="N541" s="8"/>
      <c r="O541" s="8"/>
      <c r="P541" s="8"/>
      <c r="Q541" s="8"/>
      <c r="R541" s="8"/>
      <c r="S541" s="8"/>
      <c r="T541" s="82"/>
    </row>
    <row r="542" spans="1:20" ht="13.5" customHeight="1" x14ac:dyDescent="0.25">
      <c r="A542" s="307">
        <v>15</v>
      </c>
      <c r="B542" s="307"/>
      <c r="C542" s="170"/>
      <c r="D542" s="309"/>
      <c r="E542" s="170"/>
      <c r="F542" s="311"/>
      <c r="G542" s="313"/>
      <c r="H542" s="315"/>
      <c r="I542" s="8"/>
      <c r="J542" s="8"/>
      <c r="K542" s="8"/>
      <c r="L542" s="8"/>
      <c r="M542" s="8"/>
      <c r="N542" s="8"/>
      <c r="O542" s="8"/>
      <c r="P542" s="8"/>
      <c r="Q542" s="8"/>
      <c r="R542" s="8"/>
      <c r="S542" s="8"/>
      <c r="T542" s="82"/>
    </row>
    <row r="543" spans="1:20" ht="13.5" customHeight="1" x14ac:dyDescent="0.25">
      <c r="A543" s="308"/>
      <c r="B543" s="308"/>
      <c r="C543" s="171" t="str">
        <f>IFERROR(VLOOKUP(C542,Списки!$E:$F,2,0)," ")</f>
        <v xml:space="preserve"> </v>
      </c>
      <c r="D543" s="310"/>
      <c r="E543" s="171" t="str">
        <f>IFERROR(VLOOKUP(E542,Списки!$E:$F,2,0)," ")</f>
        <v xml:space="preserve"> </v>
      </c>
      <c r="F543" s="312"/>
      <c r="G543" s="314"/>
      <c r="H543" s="315"/>
      <c r="I543" s="8"/>
      <c r="J543" s="8"/>
      <c r="K543" s="8"/>
      <c r="L543" s="8"/>
      <c r="M543" s="8"/>
      <c r="N543" s="8"/>
      <c r="O543" s="8"/>
      <c r="P543" s="8"/>
      <c r="Q543" s="8"/>
      <c r="R543" s="8"/>
      <c r="S543" s="8"/>
      <c r="T543" s="82"/>
    </row>
    <row r="544" spans="1:20" x14ac:dyDescent="0.25">
      <c r="A544" s="36"/>
      <c r="B544" s="37"/>
      <c r="C544" s="173"/>
      <c r="D544" s="173"/>
      <c r="E544" s="174" t="s">
        <v>30</v>
      </c>
      <c r="F544" s="39">
        <f>IFERROR(SUM(IFERROR(IF((LOOKUP(9E+307,F514:F543))&gt;$M$39,(LOOKUP(9E+307,F514:F543))-$M$39,IF((LOOKUP(9E+307,F514:F543))&lt;0.166666667,0+(LOOKUP(9E+307,F514:F543))+1-$M$39,0)),0),(IF(AND(IF(D514,$M$38-D514,0)&gt;0,F514,F514&gt;D514),$M$38-D514,IF(AND(D514,F514,D514&gt;F514),"error",0)))),"ОШИБКА")</f>
        <v>0</v>
      </c>
      <c r="G544" s="40" t="s">
        <v>27</v>
      </c>
      <c r="H544" s="38">
        <f>SUM(H514:H543)</f>
        <v>0</v>
      </c>
      <c r="I544" s="8"/>
      <c r="J544" s="8"/>
      <c r="K544" s="8"/>
      <c r="L544" s="8"/>
      <c r="M544" s="8"/>
      <c r="N544" s="8"/>
      <c r="O544" s="8"/>
      <c r="P544" s="8"/>
      <c r="Q544" s="8"/>
      <c r="R544" s="8"/>
      <c r="S544" s="8"/>
      <c r="T544" s="82"/>
    </row>
    <row r="545" spans="1:20" ht="15.75" x14ac:dyDescent="0.25">
      <c r="A545" s="316">
        <f>DATE(K1,J1,17)</f>
        <v>43847</v>
      </c>
      <c r="B545" s="316"/>
      <c r="C545" s="316"/>
      <c r="D545" s="316"/>
      <c r="E545" s="316"/>
      <c r="F545" s="316"/>
      <c r="G545" s="316"/>
      <c r="H545" s="316"/>
      <c r="I545" s="8"/>
      <c r="J545" s="8"/>
      <c r="K545" s="8"/>
      <c r="L545" s="8"/>
      <c r="M545" s="8"/>
      <c r="N545" s="8"/>
      <c r="O545" s="8"/>
      <c r="P545" s="8"/>
      <c r="Q545" s="8"/>
      <c r="R545" s="8"/>
      <c r="S545" s="8"/>
      <c r="T545" s="82"/>
    </row>
    <row r="546" spans="1:20" ht="13.5" customHeight="1" x14ac:dyDescent="0.25">
      <c r="A546" s="318"/>
      <c r="B546" s="320" t="s">
        <v>34</v>
      </c>
      <c r="C546" s="175" t="s">
        <v>39</v>
      </c>
      <c r="D546" s="322" t="s">
        <v>36</v>
      </c>
      <c r="E546" s="175" t="s">
        <v>37</v>
      </c>
      <c r="F546" s="320" t="s">
        <v>36</v>
      </c>
      <c r="G546" s="324" t="s">
        <v>35</v>
      </c>
      <c r="H546" s="315" t="s">
        <v>40</v>
      </c>
      <c r="I546" s="8"/>
      <c r="J546" s="8"/>
      <c r="K546" s="8"/>
      <c r="L546" s="8"/>
      <c r="M546" s="8"/>
      <c r="N546" s="8"/>
      <c r="O546" s="8"/>
      <c r="P546" s="8"/>
      <c r="Q546" s="8"/>
      <c r="R546" s="8"/>
      <c r="S546" s="8"/>
      <c r="T546" s="82"/>
    </row>
    <row r="547" spans="1:20" ht="13.5" customHeight="1" x14ac:dyDescent="0.25">
      <c r="A547" s="319"/>
      <c r="B547" s="321"/>
      <c r="C547" s="169" t="s">
        <v>38</v>
      </c>
      <c r="D547" s="323"/>
      <c r="E547" s="169" t="s">
        <v>38</v>
      </c>
      <c r="F547" s="321"/>
      <c r="G547" s="325"/>
      <c r="H547" s="315"/>
      <c r="I547" s="8"/>
      <c r="J547" s="8"/>
      <c r="K547" s="8"/>
      <c r="L547" s="8"/>
      <c r="M547" s="8"/>
      <c r="N547" s="8"/>
      <c r="O547" s="8"/>
      <c r="P547" s="8"/>
      <c r="Q547" s="8"/>
      <c r="R547" s="8"/>
      <c r="S547" s="8"/>
      <c r="T547" s="82"/>
    </row>
    <row r="548" spans="1:20" ht="13.5" customHeight="1" x14ac:dyDescent="0.25">
      <c r="A548" s="307">
        <v>1</v>
      </c>
      <c r="B548" s="307"/>
      <c r="C548" s="170" t="s">
        <v>43</v>
      </c>
      <c r="D548" s="309"/>
      <c r="E548" s="170" t="s">
        <v>44</v>
      </c>
      <c r="F548" s="311"/>
      <c r="G548" s="313"/>
      <c r="H548" s="315"/>
      <c r="I548" s="8"/>
      <c r="J548" s="8"/>
      <c r="K548" s="8"/>
      <c r="L548" s="8"/>
      <c r="M548" s="8"/>
      <c r="N548" s="8"/>
      <c r="O548" s="8"/>
      <c r="P548" s="8"/>
      <c r="Q548" s="8"/>
      <c r="R548" s="8"/>
      <c r="S548" s="8"/>
      <c r="T548" s="82"/>
    </row>
    <row r="549" spans="1:20" ht="13.5" customHeight="1" x14ac:dyDescent="0.25">
      <c r="A549" s="308"/>
      <c r="B549" s="308"/>
      <c r="C549" s="171" t="str">
        <f>IFERROR(VLOOKUP(C548,Списки!$E:$F,2,0)," ")</f>
        <v>SAVUSHKINA ST 128</v>
      </c>
      <c r="D549" s="310"/>
      <c r="E549" s="171" t="str">
        <f>IFERROR(VLOOKUP(E548,Списки!$E:$F,2,0)," ")</f>
        <v>LEVASHOVSKOE HWY 20</v>
      </c>
      <c r="F549" s="312"/>
      <c r="G549" s="314"/>
      <c r="H549" s="315"/>
      <c r="I549" s="8"/>
      <c r="J549" s="8"/>
      <c r="K549" s="8"/>
      <c r="L549" s="8"/>
      <c r="M549" s="8"/>
      <c r="N549" s="8"/>
      <c r="O549" s="8"/>
      <c r="P549" s="8"/>
      <c r="Q549" s="8"/>
      <c r="R549" s="8"/>
      <c r="S549" s="8"/>
      <c r="T549" s="82"/>
    </row>
    <row r="550" spans="1:20" ht="13.5" customHeight="1" x14ac:dyDescent="0.25">
      <c r="A550" s="307">
        <v>2</v>
      </c>
      <c r="B550" s="307"/>
      <c r="C550" s="170" t="s">
        <v>44</v>
      </c>
      <c r="D550" s="309"/>
      <c r="E550" s="170"/>
      <c r="F550" s="311"/>
      <c r="G550" s="313"/>
      <c r="H550" s="315"/>
      <c r="I550" s="8"/>
      <c r="J550" s="8"/>
      <c r="K550" s="8"/>
      <c r="L550" s="8"/>
      <c r="M550" s="8"/>
      <c r="N550" s="8"/>
      <c r="O550" s="8"/>
      <c r="P550" s="8"/>
      <c r="Q550" s="8"/>
      <c r="R550" s="8"/>
      <c r="S550" s="8"/>
      <c r="T550" s="82"/>
    </row>
    <row r="551" spans="1:20" ht="13.5" customHeight="1" x14ac:dyDescent="0.25">
      <c r="A551" s="308"/>
      <c r="B551" s="308"/>
      <c r="C551" s="171" t="str">
        <f>IFERROR(VLOOKUP(C550,Списки!$E:$F,2,0)," ")</f>
        <v>LEVASHOVSKOE HWY 20</v>
      </c>
      <c r="D551" s="310"/>
      <c r="E551" s="171" t="str">
        <f>IFERROR(VLOOKUP(E550,Списки!$E:$F,2,0)," ")</f>
        <v xml:space="preserve"> </v>
      </c>
      <c r="F551" s="312"/>
      <c r="G551" s="314"/>
      <c r="H551" s="315"/>
      <c r="I551" s="8"/>
      <c r="J551" s="8"/>
      <c r="K551" s="8"/>
      <c r="L551" s="8"/>
      <c r="M551" s="8"/>
      <c r="N551" s="8"/>
      <c r="O551" s="8"/>
      <c r="P551" s="8"/>
      <c r="Q551" s="8"/>
      <c r="R551" s="8"/>
      <c r="S551" s="8"/>
      <c r="T551" s="82"/>
    </row>
    <row r="552" spans="1:20" ht="13.5" customHeight="1" x14ac:dyDescent="0.25">
      <c r="A552" s="307">
        <v>3</v>
      </c>
      <c r="B552" s="307"/>
      <c r="C552" s="170"/>
      <c r="D552" s="309"/>
      <c r="E552" s="170"/>
      <c r="F552" s="311"/>
      <c r="G552" s="313"/>
      <c r="H552" s="315"/>
      <c r="I552" s="8"/>
      <c r="J552" s="8"/>
      <c r="K552" s="8"/>
      <c r="L552" s="8"/>
      <c r="M552" s="8"/>
      <c r="N552" s="8"/>
      <c r="O552" s="8"/>
      <c r="P552" s="8"/>
      <c r="Q552" s="8"/>
      <c r="R552" s="8"/>
      <c r="S552" s="8"/>
      <c r="T552" s="82"/>
    </row>
    <row r="553" spans="1:20" ht="13.5" customHeight="1" x14ac:dyDescent="0.25">
      <c r="A553" s="308"/>
      <c r="B553" s="308"/>
      <c r="C553" s="171" t="str">
        <f>IFERROR(VLOOKUP(C552,Списки!$E:$F,2,0)," ")</f>
        <v xml:space="preserve"> </v>
      </c>
      <c r="D553" s="310"/>
      <c r="E553" s="171" t="str">
        <f>IFERROR(VLOOKUP(E552,Списки!$E:$F,2,0)," ")</f>
        <v xml:space="preserve"> </v>
      </c>
      <c r="F553" s="312"/>
      <c r="G553" s="314"/>
      <c r="H553" s="315"/>
      <c r="I553" s="8"/>
      <c r="J553" s="8"/>
      <c r="K553" s="8"/>
      <c r="L553" s="8"/>
      <c r="M553" s="8"/>
      <c r="N553" s="8"/>
      <c r="O553" s="8"/>
      <c r="P553" s="8"/>
      <c r="Q553" s="8"/>
      <c r="R553" s="8"/>
      <c r="S553" s="8"/>
      <c r="T553" s="82"/>
    </row>
    <row r="554" spans="1:20" ht="13.5" customHeight="1" x14ac:dyDescent="0.25">
      <c r="A554" s="307">
        <v>4</v>
      </c>
      <c r="B554" s="307"/>
      <c r="C554" s="170"/>
      <c r="D554" s="309"/>
      <c r="E554" s="170"/>
      <c r="F554" s="311"/>
      <c r="G554" s="313"/>
      <c r="H554" s="315"/>
      <c r="I554" s="8"/>
      <c r="J554" s="8"/>
      <c r="K554" s="8"/>
      <c r="L554" s="8"/>
      <c r="M554" s="8"/>
      <c r="N554" s="8"/>
      <c r="O554" s="8"/>
      <c r="P554" s="8"/>
      <c r="Q554" s="8"/>
      <c r="R554" s="8"/>
      <c r="S554" s="8"/>
      <c r="T554" s="82"/>
    </row>
    <row r="555" spans="1:20" ht="13.5" customHeight="1" x14ac:dyDescent="0.25">
      <c r="A555" s="308"/>
      <c r="B555" s="308"/>
      <c r="C555" s="171" t="str">
        <f>IFERROR(VLOOKUP(C554,Списки!$E:$F,2,0)," ")</f>
        <v xml:space="preserve"> </v>
      </c>
      <c r="D555" s="310"/>
      <c r="E555" s="171" t="str">
        <f>IFERROR(VLOOKUP(E554,Списки!$E:$F,2,0)," ")</f>
        <v xml:space="preserve"> </v>
      </c>
      <c r="F555" s="312"/>
      <c r="G555" s="314"/>
      <c r="H555" s="315"/>
      <c r="I555" s="8"/>
      <c r="J555" s="8"/>
      <c r="K555" s="8"/>
      <c r="L555" s="8"/>
      <c r="M555" s="8"/>
      <c r="N555" s="8"/>
      <c r="O555" s="8"/>
      <c r="P555" s="8"/>
      <c r="Q555" s="8"/>
      <c r="R555" s="8"/>
      <c r="S555" s="8"/>
      <c r="T555" s="82"/>
    </row>
    <row r="556" spans="1:20" ht="13.5" customHeight="1" x14ac:dyDescent="0.25">
      <c r="A556" s="307">
        <v>5</v>
      </c>
      <c r="B556" s="307"/>
      <c r="C556" s="170"/>
      <c r="D556" s="309"/>
      <c r="E556" s="172"/>
      <c r="F556" s="311"/>
      <c r="G556" s="313"/>
      <c r="H556" s="315"/>
      <c r="I556" s="8"/>
      <c r="J556" s="8"/>
      <c r="K556" s="8"/>
      <c r="L556" s="8"/>
      <c r="M556" s="8"/>
      <c r="N556" s="8"/>
      <c r="O556" s="8"/>
      <c r="P556" s="8"/>
      <c r="Q556" s="8"/>
      <c r="R556" s="8"/>
      <c r="S556" s="8"/>
      <c r="T556" s="82"/>
    </row>
    <row r="557" spans="1:20" ht="13.5" customHeight="1" x14ac:dyDescent="0.25">
      <c r="A557" s="308"/>
      <c r="B557" s="308"/>
      <c r="C557" s="171" t="str">
        <f>IFERROR(VLOOKUP(C556,Списки!$E:$F,2,0)," ")</f>
        <v xml:space="preserve"> </v>
      </c>
      <c r="D557" s="310"/>
      <c r="E557" s="172" t="str">
        <f>IFERROR(VLOOKUP(E556,Списки!$E:$F,2,0)," ")</f>
        <v xml:space="preserve"> </v>
      </c>
      <c r="F557" s="312"/>
      <c r="G557" s="314"/>
      <c r="H557" s="315"/>
      <c r="I557" s="8"/>
      <c r="J557" s="8"/>
      <c r="K557" s="8"/>
      <c r="L557" s="8"/>
      <c r="M557" s="8"/>
      <c r="N557" s="8"/>
      <c r="O557" s="8"/>
      <c r="P557" s="8"/>
      <c r="Q557" s="8"/>
      <c r="R557" s="8"/>
      <c r="S557" s="8"/>
      <c r="T557" s="82"/>
    </row>
    <row r="558" spans="1:20" ht="13.5" customHeight="1" x14ac:dyDescent="0.25">
      <c r="A558" s="307">
        <v>6</v>
      </c>
      <c r="B558" s="307"/>
      <c r="C558" s="170"/>
      <c r="D558" s="309"/>
      <c r="E558" s="170"/>
      <c r="F558" s="311"/>
      <c r="G558" s="313"/>
      <c r="H558" s="315"/>
      <c r="I558" s="8"/>
      <c r="J558" s="8"/>
      <c r="K558" s="8"/>
      <c r="L558" s="8"/>
      <c r="M558" s="8"/>
      <c r="N558" s="8"/>
      <c r="O558" s="8"/>
      <c r="P558" s="8"/>
      <c r="Q558" s="8"/>
      <c r="R558" s="8"/>
      <c r="S558" s="8"/>
      <c r="T558" s="82"/>
    </row>
    <row r="559" spans="1:20" ht="13.5" customHeight="1" x14ac:dyDescent="0.25">
      <c r="A559" s="308"/>
      <c r="B559" s="308"/>
      <c r="C559" s="171" t="str">
        <f>IFERROR(VLOOKUP(C558,Списки!$E:$F,2,0)," ")</f>
        <v xml:space="preserve"> </v>
      </c>
      <c r="D559" s="310"/>
      <c r="E559" s="179" t="str">
        <f>IFERROR(VLOOKUP(E558,Списки!$E:$F,2,0)," ")</f>
        <v xml:space="preserve"> </v>
      </c>
      <c r="F559" s="312"/>
      <c r="G559" s="314"/>
      <c r="H559" s="315"/>
      <c r="I559" s="8"/>
      <c r="J559" s="8"/>
      <c r="K559" s="8"/>
      <c r="L559" s="8"/>
      <c r="M559" s="8"/>
      <c r="N559" s="8"/>
      <c r="O559" s="8"/>
      <c r="P559" s="8"/>
      <c r="Q559" s="8"/>
      <c r="R559" s="8"/>
      <c r="S559" s="8"/>
      <c r="T559" s="82"/>
    </row>
    <row r="560" spans="1:20" ht="13.5" customHeight="1" x14ac:dyDescent="0.25">
      <c r="A560" s="307">
        <v>7</v>
      </c>
      <c r="B560" s="307"/>
      <c r="C560" s="170"/>
      <c r="D560" s="309"/>
      <c r="E560" s="170"/>
      <c r="F560" s="311"/>
      <c r="G560" s="313"/>
      <c r="H560" s="315"/>
      <c r="I560" s="8"/>
      <c r="J560" s="8"/>
      <c r="K560" s="8"/>
      <c r="L560" s="8"/>
      <c r="M560" s="8"/>
      <c r="N560" s="8"/>
      <c r="O560" s="8"/>
      <c r="P560" s="8"/>
      <c r="Q560" s="8"/>
      <c r="R560" s="8"/>
      <c r="S560" s="8"/>
      <c r="T560" s="82"/>
    </row>
    <row r="561" spans="1:20" ht="13.5" customHeight="1" x14ac:dyDescent="0.25">
      <c r="A561" s="308"/>
      <c r="B561" s="308"/>
      <c r="C561" s="179" t="str">
        <f>IFERROR(VLOOKUP(C560,Списки!$E:$F,2,0)," ")</f>
        <v xml:space="preserve"> </v>
      </c>
      <c r="D561" s="310"/>
      <c r="E561" s="171" t="str">
        <f>IFERROR(VLOOKUP(E560,Списки!$E:$F,2,0)," ")</f>
        <v xml:space="preserve"> </v>
      </c>
      <c r="F561" s="312"/>
      <c r="G561" s="314"/>
      <c r="H561" s="315"/>
      <c r="I561" s="8"/>
      <c r="J561" s="8"/>
      <c r="K561" s="8"/>
      <c r="L561" s="8"/>
      <c r="M561" s="8"/>
      <c r="N561" s="8"/>
      <c r="O561" s="8"/>
      <c r="P561" s="8"/>
      <c r="Q561" s="8"/>
      <c r="R561" s="8"/>
      <c r="S561" s="8"/>
      <c r="T561" s="82"/>
    </row>
    <row r="562" spans="1:20" ht="13.5" customHeight="1" x14ac:dyDescent="0.25">
      <c r="A562" s="307">
        <v>8</v>
      </c>
      <c r="B562" s="307"/>
      <c r="C562" s="170"/>
      <c r="D562" s="309"/>
      <c r="E562" s="170"/>
      <c r="F562" s="311"/>
      <c r="G562" s="313"/>
      <c r="H562" s="315"/>
      <c r="I562" s="8"/>
      <c r="J562" s="8"/>
      <c r="K562" s="8"/>
      <c r="L562" s="8"/>
      <c r="M562" s="8"/>
      <c r="N562" s="8"/>
      <c r="O562" s="8"/>
      <c r="P562" s="8"/>
      <c r="Q562" s="8"/>
      <c r="R562" s="8"/>
      <c r="S562" s="8"/>
      <c r="T562" s="82"/>
    </row>
    <row r="563" spans="1:20" ht="13.5" customHeight="1" x14ac:dyDescent="0.25">
      <c r="A563" s="308"/>
      <c r="B563" s="308"/>
      <c r="C563" s="179" t="str">
        <f>IFERROR(VLOOKUP(C562,Списки!$E:$F,2,0)," ")</f>
        <v xml:space="preserve"> </v>
      </c>
      <c r="D563" s="310"/>
      <c r="E563" s="171" t="str">
        <f>IFERROR(VLOOKUP(E562,Списки!$E:$F,2,0)," ")</f>
        <v xml:space="preserve"> </v>
      </c>
      <c r="F563" s="312"/>
      <c r="G563" s="314"/>
      <c r="H563" s="315"/>
      <c r="I563" s="8"/>
      <c r="J563" s="8"/>
      <c r="K563" s="8"/>
      <c r="L563" s="8"/>
      <c r="M563" s="8"/>
      <c r="N563" s="8"/>
      <c r="O563" s="8"/>
      <c r="P563" s="8"/>
      <c r="Q563" s="8"/>
      <c r="R563" s="8"/>
      <c r="S563" s="8"/>
      <c r="T563" s="82"/>
    </row>
    <row r="564" spans="1:20" ht="13.5" customHeight="1" x14ac:dyDescent="0.25">
      <c r="A564" s="307">
        <v>9</v>
      </c>
      <c r="B564" s="307"/>
      <c r="C564" s="170"/>
      <c r="D564" s="309"/>
      <c r="E564" s="170"/>
      <c r="F564" s="311"/>
      <c r="G564" s="313"/>
      <c r="H564" s="315"/>
      <c r="I564" s="8"/>
      <c r="J564" s="8"/>
      <c r="K564" s="8"/>
      <c r="L564" s="8"/>
      <c r="M564" s="8"/>
      <c r="N564" s="8"/>
      <c r="O564" s="8"/>
      <c r="P564" s="8"/>
      <c r="Q564" s="8"/>
      <c r="R564" s="8"/>
      <c r="S564" s="8"/>
      <c r="T564" s="82"/>
    </row>
    <row r="565" spans="1:20" ht="13.5" customHeight="1" x14ac:dyDescent="0.25">
      <c r="A565" s="308"/>
      <c r="B565" s="308"/>
      <c r="C565" s="171" t="str">
        <f>IFERROR(VLOOKUP(C564,Списки!$E:$F,2,0)," ")</f>
        <v xml:space="preserve"> </v>
      </c>
      <c r="D565" s="310"/>
      <c r="E565" s="171" t="str">
        <f>IFERROR(VLOOKUP(E564,Списки!$E:$F,2,0)," ")</f>
        <v xml:space="preserve"> </v>
      </c>
      <c r="F565" s="312"/>
      <c r="G565" s="314"/>
      <c r="H565" s="315"/>
      <c r="I565" s="8"/>
      <c r="J565" s="8"/>
      <c r="K565" s="8"/>
      <c r="L565" s="8"/>
      <c r="M565" s="8"/>
      <c r="N565" s="8"/>
      <c r="O565" s="8"/>
      <c r="P565" s="8"/>
      <c r="Q565" s="8"/>
      <c r="R565" s="8"/>
      <c r="S565" s="8"/>
      <c r="T565" s="82"/>
    </row>
    <row r="566" spans="1:20" ht="13.5" customHeight="1" x14ac:dyDescent="0.25">
      <c r="A566" s="307">
        <v>10</v>
      </c>
      <c r="B566" s="307"/>
      <c r="C566" s="170"/>
      <c r="D566" s="309"/>
      <c r="E566" s="170"/>
      <c r="F566" s="311"/>
      <c r="G566" s="313"/>
      <c r="H566" s="315"/>
      <c r="I566" s="8"/>
      <c r="J566" s="8"/>
      <c r="K566" s="8"/>
      <c r="L566" s="8"/>
      <c r="M566" s="8"/>
      <c r="N566" s="8"/>
      <c r="O566" s="8"/>
      <c r="P566" s="8"/>
      <c r="Q566" s="8"/>
      <c r="R566" s="8"/>
      <c r="S566" s="8"/>
      <c r="T566" s="82"/>
    </row>
    <row r="567" spans="1:20" ht="13.5" customHeight="1" x14ac:dyDescent="0.25">
      <c r="A567" s="308"/>
      <c r="B567" s="308"/>
      <c r="C567" s="171" t="str">
        <f>IFERROR(VLOOKUP(C566,Списки!$E:$F,2,0)," ")</f>
        <v xml:space="preserve"> </v>
      </c>
      <c r="D567" s="310"/>
      <c r="E567" s="171" t="str">
        <f>IFERROR(VLOOKUP(E566,Списки!$E:$F,2,0)," ")</f>
        <v xml:space="preserve"> </v>
      </c>
      <c r="F567" s="312"/>
      <c r="G567" s="314"/>
      <c r="H567" s="315"/>
      <c r="I567" s="8"/>
      <c r="J567" s="8"/>
      <c r="K567" s="8"/>
      <c r="L567" s="8"/>
      <c r="M567" s="8"/>
      <c r="N567" s="8"/>
      <c r="O567" s="8"/>
      <c r="P567" s="8"/>
      <c r="Q567" s="8"/>
      <c r="R567" s="8"/>
      <c r="S567" s="8"/>
      <c r="T567" s="82"/>
    </row>
    <row r="568" spans="1:20" ht="13.5" customHeight="1" x14ac:dyDescent="0.25">
      <c r="A568" s="307">
        <v>11</v>
      </c>
      <c r="B568" s="307"/>
      <c r="C568" s="170"/>
      <c r="D568" s="309"/>
      <c r="E568" s="170"/>
      <c r="F568" s="311"/>
      <c r="G568" s="313"/>
      <c r="H568" s="315"/>
      <c r="I568" s="8"/>
      <c r="J568" s="8"/>
      <c r="K568" s="8"/>
      <c r="L568" s="8"/>
      <c r="M568" s="8"/>
      <c r="N568" s="8"/>
      <c r="O568" s="8"/>
      <c r="P568" s="8"/>
      <c r="Q568" s="8"/>
      <c r="R568" s="8"/>
      <c r="S568" s="8"/>
      <c r="T568" s="82"/>
    </row>
    <row r="569" spans="1:20" ht="13.5" customHeight="1" x14ac:dyDescent="0.25">
      <c r="A569" s="308"/>
      <c r="B569" s="308"/>
      <c r="C569" s="171" t="str">
        <f>IFERROR(VLOOKUP(C568,Списки!$E:$F,2,0)," ")</f>
        <v xml:space="preserve"> </v>
      </c>
      <c r="D569" s="310"/>
      <c r="E569" s="171" t="str">
        <f>IFERROR(VLOOKUP(E568,Списки!$E:$F,2,0)," ")</f>
        <v xml:space="preserve"> </v>
      </c>
      <c r="F569" s="312"/>
      <c r="G569" s="314"/>
      <c r="H569" s="315"/>
      <c r="I569" s="8"/>
      <c r="J569" s="8"/>
      <c r="K569" s="8"/>
      <c r="L569" s="8"/>
      <c r="M569" s="8"/>
      <c r="N569" s="8"/>
      <c r="O569" s="8"/>
      <c r="P569" s="8"/>
      <c r="Q569" s="8"/>
      <c r="R569" s="8"/>
      <c r="S569" s="8"/>
      <c r="T569" s="82"/>
    </row>
    <row r="570" spans="1:20" ht="13.5" customHeight="1" x14ac:dyDescent="0.25">
      <c r="A570" s="307">
        <v>12</v>
      </c>
      <c r="B570" s="307"/>
      <c r="C570" s="170"/>
      <c r="D570" s="309"/>
      <c r="E570" s="170"/>
      <c r="F570" s="311"/>
      <c r="G570" s="313"/>
      <c r="H570" s="315"/>
      <c r="I570" s="8"/>
      <c r="J570" s="8"/>
      <c r="K570" s="8"/>
      <c r="L570" s="8"/>
      <c r="M570" s="8"/>
      <c r="N570" s="8"/>
      <c r="O570" s="8"/>
      <c r="P570" s="8"/>
      <c r="Q570" s="8"/>
      <c r="R570" s="8"/>
      <c r="S570" s="8"/>
      <c r="T570" s="82"/>
    </row>
    <row r="571" spans="1:20" ht="13.5" customHeight="1" x14ac:dyDescent="0.25">
      <c r="A571" s="308"/>
      <c r="B571" s="308"/>
      <c r="C571" s="171" t="str">
        <f>IFERROR(VLOOKUP(C570,Списки!$E:$F,2,0)," ")</f>
        <v xml:space="preserve"> </v>
      </c>
      <c r="D571" s="310"/>
      <c r="E571" s="171" t="str">
        <f>IFERROR(VLOOKUP(E570,Списки!$E:$F,2,0)," ")</f>
        <v xml:space="preserve"> </v>
      </c>
      <c r="F571" s="312"/>
      <c r="G571" s="314"/>
      <c r="H571" s="315"/>
      <c r="I571" s="8"/>
      <c r="J571" s="8"/>
      <c r="K571" s="8"/>
      <c r="L571" s="8"/>
      <c r="M571" s="8"/>
      <c r="N571" s="8"/>
      <c r="O571" s="8"/>
      <c r="P571" s="8"/>
      <c r="Q571" s="8"/>
      <c r="R571" s="8"/>
      <c r="S571" s="8"/>
      <c r="T571" s="82"/>
    </row>
    <row r="572" spans="1:20" ht="13.5" customHeight="1" x14ac:dyDescent="0.25">
      <c r="A572" s="307">
        <v>13</v>
      </c>
      <c r="B572" s="307"/>
      <c r="C572" s="170"/>
      <c r="D572" s="309"/>
      <c r="E572" s="170"/>
      <c r="F572" s="311"/>
      <c r="G572" s="313"/>
      <c r="H572" s="315"/>
      <c r="I572" s="8"/>
      <c r="J572" s="8"/>
      <c r="K572" s="8"/>
      <c r="L572" s="8"/>
      <c r="M572" s="8"/>
      <c r="N572" s="8"/>
      <c r="O572" s="8"/>
      <c r="P572" s="8"/>
      <c r="Q572" s="8"/>
      <c r="R572" s="8"/>
      <c r="S572" s="8"/>
      <c r="T572" s="82"/>
    </row>
    <row r="573" spans="1:20" ht="13.5" customHeight="1" x14ac:dyDescent="0.25">
      <c r="A573" s="308"/>
      <c r="B573" s="308"/>
      <c r="C573" s="171" t="str">
        <f>IFERROR(VLOOKUP(C572,Списки!$E:$F,2,0)," ")</f>
        <v xml:space="preserve"> </v>
      </c>
      <c r="D573" s="310"/>
      <c r="E573" s="171" t="str">
        <f>IFERROR(VLOOKUP(E572,Списки!$E:$F,2,0)," ")</f>
        <v xml:space="preserve"> </v>
      </c>
      <c r="F573" s="312"/>
      <c r="G573" s="314"/>
      <c r="H573" s="315"/>
      <c r="I573" s="8"/>
      <c r="J573" s="8"/>
      <c r="K573" s="8"/>
      <c r="L573" s="8"/>
      <c r="M573" s="8"/>
      <c r="N573" s="8"/>
      <c r="O573" s="8"/>
      <c r="P573" s="8"/>
      <c r="Q573" s="8"/>
      <c r="R573" s="8"/>
      <c r="S573" s="8"/>
      <c r="T573" s="82"/>
    </row>
    <row r="574" spans="1:20" ht="13.5" customHeight="1" x14ac:dyDescent="0.25">
      <c r="A574" s="307">
        <v>14</v>
      </c>
      <c r="B574" s="307"/>
      <c r="C574" s="170"/>
      <c r="D574" s="309"/>
      <c r="E574" s="170"/>
      <c r="F574" s="311"/>
      <c r="G574" s="313"/>
      <c r="H574" s="315"/>
      <c r="I574" s="8"/>
      <c r="J574" s="8"/>
      <c r="K574" s="8"/>
      <c r="L574" s="8"/>
      <c r="M574" s="8"/>
      <c r="N574" s="8"/>
      <c r="O574" s="8"/>
      <c r="P574" s="8"/>
      <c r="Q574" s="8"/>
      <c r="R574" s="8"/>
      <c r="S574" s="8"/>
      <c r="T574" s="82"/>
    </row>
    <row r="575" spans="1:20" ht="13.5" customHeight="1" x14ac:dyDescent="0.25">
      <c r="A575" s="308"/>
      <c r="B575" s="308"/>
      <c r="C575" s="171" t="str">
        <f>IFERROR(VLOOKUP(C574,Списки!$E:$F,2,0)," ")</f>
        <v xml:space="preserve"> </v>
      </c>
      <c r="D575" s="310"/>
      <c r="E575" s="171" t="str">
        <f>IFERROR(VLOOKUP(E574,Списки!$E:$F,2,0)," ")</f>
        <v xml:space="preserve"> </v>
      </c>
      <c r="F575" s="312"/>
      <c r="G575" s="314"/>
      <c r="H575" s="315"/>
      <c r="I575" s="8"/>
      <c r="J575" s="8"/>
      <c r="K575" s="8"/>
      <c r="L575" s="8"/>
      <c r="M575" s="8"/>
      <c r="N575" s="8"/>
      <c r="O575" s="8"/>
      <c r="P575" s="8"/>
      <c r="Q575" s="8"/>
      <c r="R575" s="8"/>
      <c r="S575" s="8"/>
      <c r="T575" s="82"/>
    </row>
    <row r="576" spans="1:20" ht="13.5" customHeight="1" x14ac:dyDescent="0.25">
      <c r="A576" s="307">
        <v>15</v>
      </c>
      <c r="B576" s="307"/>
      <c r="C576" s="170"/>
      <c r="D576" s="309"/>
      <c r="E576" s="170"/>
      <c r="F576" s="311"/>
      <c r="G576" s="313"/>
      <c r="H576" s="315"/>
      <c r="I576" s="8"/>
      <c r="J576" s="8"/>
      <c r="K576" s="8"/>
      <c r="L576" s="8"/>
      <c r="M576" s="8"/>
      <c r="N576" s="8"/>
      <c r="O576" s="8"/>
      <c r="P576" s="8"/>
      <c r="Q576" s="8"/>
      <c r="R576" s="8"/>
      <c r="S576" s="8"/>
      <c r="T576" s="82"/>
    </row>
    <row r="577" spans="1:20" ht="13.5" customHeight="1" x14ac:dyDescent="0.25">
      <c r="A577" s="308"/>
      <c r="B577" s="308"/>
      <c r="C577" s="171" t="str">
        <f>IFERROR(VLOOKUP(C576,Списки!$E:$F,2,0)," ")</f>
        <v xml:space="preserve"> </v>
      </c>
      <c r="D577" s="310"/>
      <c r="E577" s="171" t="str">
        <f>IFERROR(VLOOKUP(E576,Списки!$E:$F,2,0)," ")</f>
        <v xml:space="preserve"> </v>
      </c>
      <c r="F577" s="312"/>
      <c r="G577" s="314"/>
      <c r="H577" s="315"/>
      <c r="I577" s="8"/>
      <c r="J577" s="8"/>
      <c r="K577" s="8"/>
      <c r="L577" s="8"/>
      <c r="M577" s="8"/>
      <c r="N577" s="8"/>
      <c r="O577" s="8"/>
      <c r="P577" s="8"/>
      <c r="Q577" s="8"/>
      <c r="R577" s="8"/>
      <c r="S577" s="8"/>
      <c r="T577" s="82"/>
    </row>
    <row r="578" spans="1:20" x14ac:dyDescent="0.25">
      <c r="A578" s="36"/>
      <c r="B578" s="37"/>
      <c r="C578" s="173"/>
      <c r="D578" s="173"/>
      <c r="E578" s="174" t="s">
        <v>30</v>
      </c>
      <c r="F578" s="39">
        <f>IFERROR(SUM(IFERROR(IF((LOOKUP(9E+307,F548:F577))&gt;$M$39,(LOOKUP(9E+307,F548:F577))-$M$39,IF((LOOKUP(9E+307,F548:F577))&lt;0.166666667,0+(LOOKUP(9E+307,F548:F577))+1-$M$39,0)),0),(IF(AND(IF(D548,$M$38-D548,0)&gt;0,F548,F548&gt;D548),$M$38-D548,IF(AND(D548,F548,D548&gt;F548),"error",0)))),"ОШИБКА")</f>
        <v>0</v>
      </c>
      <c r="G578" s="40" t="s">
        <v>27</v>
      </c>
      <c r="H578" s="38">
        <f>SUM(H548:H577)</f>
        <v>0</v>
      </c>
      <c r="I578" s="8"/>
      <c r="J578" s="8"/>
      <c r="K578" s="8"/>
      <c r="L578" s="8"/>
      <c r="M578" s="8"/>
      <c r="N578" s="8"/>
      <c r="O578" s="8"/>
      <c r="P578" s="8"/>
      <c r="Q578" s="8"/>
      <c r="R578" s="8"/>
      <c r="S578" s="8"/>
      <c r="T578" s="82"/>
    </row>
    <row r="579" spans="1:20" ht="15.75" x14ac:dyDescent="0.25">
      <c r="A579" s="316">
        <f>DATE(K1,J1,18)</f>
        <v>43848</v>
      </c>
      <c r="B579" s="316"/>
      <c r="C579" s="316"/>
      <c r="D579" s="316"/>
      <c r="E579" s="316"/>
      <c r="F579" s="316"/>
      <c r="G579" s="316"/>
      <c r="H579" s="316"/>
      <c r="I579" s="8"/>
      <c r="J579" s="8"/>
      <c r="K579" s="8"/>
      <c r="L579" s="8"/>
      <c r="M579" s="8"/>
      <c r="N579" s="8"/>
      <c r="O579" s="8"/>
      <c r="P579" s="8"/>
      <c r="Q579" s="8"/>
      <c r="R579" s="8"/>
      <c r="S579" s="8"/>
      <c r="T579" s="82"/>
    </row>
    <row r="580" spans="1:20" ht="13.5" customHeight="1" x14ac:dyDescent="0.25">
      <c r="A580" s="318"/>
      <c r="B580" s="320" t="s">
        <v>34</v>
      </c>
      <c r="C580" s="175" t="s">
        <v>39</v>
      </c>
      <c r="D580" s="322" t="s">
        <v>36</v>
      </c>
      <c r="E580" s="175" t="s">
        <v>37</v>
      </c>
      <c r="F580" s="320" t="s">
        <v>36</v>
      </c>
      <c r="G580" s="324" t="s">
        <v>35</v>
      </c>
      <c r="H580" s="315" t="s">
        <v>40</v>
      </c>
      <c r="I580" s="8"/>
      <c r="J580" s="8"/>
      <c r="K580" s="8"/>
      <c r="L580" s="8"/>
      <c r="M580" s="8"/>
      <c r="N580" s="8"/>
      <c r="O580" s="8"/>
      <c r="P580" s="8"/>
      <c r="Q580" s="8"/>
      <c r="R580" s="8"/>
      <c r="S580" s="8"/>
      <c r="T580" s="82"/>
    </row>
    <row r="581" spans="1:20" ht="13.5" customHeight="1" x14ac:dyDescent="0.25">
      <c r="A581" s="319"/>
      <c r="B581" s="321"/>
      <c r="C581" s="169" t="s">
        <v>38</v>
      </c>
      <c r="D581" s="323"/>
      <c r="E581" s="169" t="s">
        <v>38</v>
      </c>
      <c r="F581" s="321"/>
      <c r="G581" s="325"/>
      <c r="H581" s="315"/>
      <c r="I581" s="8"/>
      <c r="J581" s="8"/>
      <c r="K581" s="8"/>
      <c r="L581" s="8"/>
      <c r="M581" s="8"/>
      <c r="N581" s="8"/>
      <c r="O581" s="8"/>
      <c r="P581" s="8"/>
      <c r="Q581" s="8"/>
      <c r="R581" s="8"/>
      <c r="S581" s="8"/>
      <c r="T581" s="82"/>
    </row>
    <row r="582" spans="1:20" ht="13.5" customHeight="1" x14ac:dyDescent="0.25">
      <c r="A582" s="307">
        <v>1</v>
      </c>
      <c r="B582" s="307"/>
      <c r="C582" s="170" t="s">
        <v>43</v>
      </c>
      <c r="D582" s="309"/>
      <c r="E582" s="170" t="s">
        <v>44</v>
      </c>
      <c r="F582" s="311"/>
      <c r="G582" s="313"/>
      <c r="H582" s="315"/>
      <c r="I582" s="8"/>
      <c r="J582" s="8"/>
      <c r="K582" s="8"/>
      <c r="L582" s="8"/>
      <c r="M582" s="8"/>
      <c r="N582" s="8"/>
      <c r="O582" s="8"/>
      <c r="P582" s="8"/>
      <c r="Q582" s="8"/>
      <c r="R582" s="8"/>
      <c r="S582" s="8"/>
      <c r="T582" s="82"/>
    </row>
    <row r="583" spans="1:20" ht="13.5" customHeight="1" x14ac:dyDescent="0.25">
      <c r="A583" s="308"/>
      <c r="B583" s="308"/>
      <c r="C583" s="171" t="str">
        <f>IFERROR(VLOOKUP(C582,Списки!$E:$F,2,0)," ")</f>
        <v>SAVUSHKINA ST 128</v>
      </c>
      <c r="D583" s="310"/>
      <c r="E583" s="171" t="str">
        <f>IFERROR(VLOOKUP(E582,Списки!$E:$F,2,0)," ")</f>
        <v>LEVASHOVSKOE HWY 20</v>
      </c>
      <c r="F583" s="312"/>
      <c r="G583" s="314"/>
      <c r="H583" s="315"/>
      <c r="I583" s="8"/>
      <c r="J583" s="8"/>
      <c r="K583" s="8"/>
      <c r="L583" s="8"/>
      <c r="M583" s="8"/>
      <c r="N583" s="8"/>
      <c r="O583" s="8"/>
      <c r="P583" s="8"/>
      <c r="Q583" s="8"/>
      <c r="R583" s="8"/>
      <c r="S583" s="8"/>
      <c r="T583" s="82"/>
    </row>
    <row r="584" spans="1:20" ht="13.5" customHeight="1" x14ac:dyDescent="0.25">
      <c r="A584" s="307">
        <v>2</v>
      </c>
      <c r="B584" s="307"/>
      <c r="C584" s="170" t="s">
        <v>44</v>
      </c>
      <c r="D584" s="309"/>
      <c r="E584" s="170"/>
      <c r="F584" s="311"/>
      <c r="G584" s="313"/>
      <c r="H584" s="315"/>
      <c r="I584" s="8"/>
      <c r="J584" s="8"/>
      <c r="K584" s="8"/>
      <c r="L584" s="8"/>
      <c r="M584" s="8"/>
      <c r="N584" s="8"/>
      <c r="O584" s="8"/>
      <c r="P584" s="8"/>
      <c r="Q584" s="8"/>
      <c r="R584" s="8"/>
      <c r="S584" s="8"/>
      <c r="T584" s="82"/>
    </row>
    <row r="585" spans="1:20" ht="13.5" customHeight="1" x14ac:dyDescent="0.25">
      <c r="A585" s="308"/>
      <c r="B585" s="308"/>
      <c r="C585" s="171" t="str">
        <f>IFERROR(VLOOKUP(C584,Списки!$E:$F,2,0)," ")</f>
        <v>LEVASHOVSKOE HWY 20</v>
      </c>
      <c r="D585" s="310"/>
      <c r="E585" s="171" t="str">
        <f>IFERROR(VLOOKUP(E584,Списки!$E:$F,2,0)," ")</f>
        <v xml:space="preserve"> </v>
      </c>
      <c r="F585" s="312"/>
      <c r="G585" s="314"/>
      <c r="H585" s="315"/>
      <c r="I585" s="8"/>
      <c r="J585" s="8"/>
      <c r="K585" s="8"/>
      <c r="L585" s="8"/>
      <c r="M585" s="8"/>
      <c r="N585" s="8"/>
      <c r="O585" s="8"/>
      <c r="P585" s="8"/>
      <c r="Q585" s="8"/>
      <c r="R585" s="8"/>
      <c r="S585" s="8"/>
      <c r="T585" s="82"/>
    </row>
    <row r="586" spans="1:20" ht="13.5" customHeight="1" x14ac:dyDescent="0.25">
      <c r="A586" s="307">
        <v>3</v>
      </c>
      <c r="B586" s="307"/>
      <c r="C586" s="170"/>
      <c r="D586" s="309"/>
      <c r="E586" s="170"/>
      <c r="F586" s="311"/>
      <c r="G586" s="313"/>
      <c r="H586" s="315"/>
      <c r="I586" s="8"/>
      <c r="J586" s="8"/>
      <c r="K586" s="8"/>
      <c r="L586" s="8"/>
      <c r="M586" s="8"/>
      <c r="N586" s="8"/>
      <c r="O586" s="8"/>
      <c r="P586" s="8"/>
      <c r="Q586" s="8"/>
      <c r="R586" s="8"/>
      <c r="S586" s="8"/>
      <c r="T586" s="82"/>
    </row>
    <row r="587" spans="1:20" ht="13.5" customHeight="1" x14ac:dyDescent="0.25">
      <c r="A587" s="308"/>
      <c r="B587" s="308"/>
      <c r="C587" s="171" t="str">
        <f>IFERROR(VLOOKUP(C586,Списки!$E:$F,2,0)," ")</f>
        <v xml:space="preserve"> </v>
      </c>
      <c r="D587" s="310"/>
      <c r="E587" s="171" t="str">
        <f>IFERROR(VLOOKUP(E586,Списки!$E:$F,2,0)," ")</f>
        <v xml:space="preserve"> </v>
      </c>
      <c r="F587" s="312"/>
      <c r="G587" s="314"/>
      <c r="H587" s="315"/>
      <c r="I587" s="8"/>
      <c r="J587" s="8"/>
      <c r="K587" s="8"/>
      <c r="L587" s="8"/>
      <c r="M587" s="8"/>
      <c r="N587" s="8"/>
      <c r="O587" s="8"/>
      <c r="P587" s="8"/>
      <c r="Q587" s="8"/>
      <c r="R587" s="8"/>
      <c r="S587" s="8"/>
      <c r="T587" s="82"/>
    </row>
    <row r="588" spans="1:20" ht="13.5" customHeight="1" x14ac:dyDescent="0.25">
      <c r="A588" s="307">
        <v>4</v>
      </c>
      <c r="B588" s="307"/>
      <c r="C588" s="170"/>
      <c r="D588" s="309"/>
      <c r="E588" s="170"/>
      <c r="F588" s="311"/>
      <c r="G588" s="313"/>
      <c r="H588" s="315"/>
      <c r="I588" s="8"/>
      <c r="J588" s="8"/>
      <c r="K588" s="8"/>
      <c r="L588" s="8"/>
      <c r="M588" s="8"/>
      <c r="N588" s="8"/>
      <c r="O588" s="8"/>
      <c r="P588" s="8"/>
      <c r="Q588" s="8"/>
      <c r="R588" s="8"/>
      <c r="S588" s="8"/>
      <c r="T588" s="82"/>
    </row>
    <row r="589" spans="1:20" ht="13.5" customHeight="1" x14ac:dyDescent="0.25">
      <c r="A589" s="308"/>
      <c r="B589" s="308"/>
      <c r="C589" s="171" t="str">
        <f>IFERROR(VLOOKUP(C588,Списки!$E:$F,2,0)," ")</f>
        <v xml:space="preserve"> </v>
      </c>
      <c r="D589" s="310"/>
      <c r="E589" s="171" t="str">
        <f>IFERROR(VLOOKUP(E588,Списки!$E:$F,2,0)," ")</f>
        <v xml:space="preserve"> </v>
      </c>
      <c r="F589" s="312"/>
      <c r="G589" s="314"/>
      <c r="H589" s="315"/>
      <c r="I589" s="8"/>
      <c r="J589" s="8"/>
      <c r="K589" s="8"/>
      <c r="L589" s="8"/>
      <c r="M589" s="8"/>
      <c r="N589" s="8"/>
      <c r="O589" s="8"/>
      <c r="P589" s="8"/>
      <c r="Q589" s="8"/>
      <c r="R589" s="8"/>
      <c r="S589" s="8"/>
      <c r="T589" s="82"/>
    </row>
    <row r="590" spans="1:20" ht="13.5" customHeight="1" x14ac:dyDescent="0.25">
      <c r="A590" s="307">
        <v>5</v>
      </c>
      <c r="B590" s="307"/>
      <c r="C590" s="170"/>
      <c r="D590" s="309"/>
      <c r="E590" s="172"/>
      <c r="F590" s="311"/>
      <c r="G590" s="313"/>
      <c r="H590" s="315"/>
      <c r="I590" s="8"/>
      <c r="J590" s="8"/>
      <c r="K590" s="8"/>
      <c r="L590" s="8"/>
      <c r="M590" s="8"/>
      <c r="N590" s="8"/>
      <c r="O590" s="8"/>
      <c r="P590" s="8"/>
      <c r="Q590" s="8"/>
      <c r="R590" s="8"/>
      <c r="S590" s="8"/>
      <c r="T590" s="82"/>
    </row>
    <row r="591" spans="1:20" ht="13.5" customHeight="1" x14ac:dyDescent="0.25">
      <c r="A591" s="308"/>
      <c r="B591" s="308"/>
      <c r="C591" s="171" t="str">
        <f>IFERROR(VLOOKUP(C590,Списки!$E:$F,2,0)," ")</f>
        <v xml:space="preserve"> </v>
      </c>
      <c r="D591" s="310"/>
      <c r="E591" s="172" t="str">
        <f>IFERROR(VLOOKUP(E590,Списки!$E:$F,2,0)," ")</f>
        <v xml:space="preserve"> </v>
      </c>
      <c r="F591" s="312"/>
      <c r="G591" s="314"/>
      <c r="H591" s="315"/>
      <c r="I591" s="8"/>
      <c r="J591" s="8"/>
      <c r="K591" s="8"/>
      <c r="L591" s="8"/>
      <c r="M591" s="8"/>
      <c r="N591" s="8"/>
      <c r="O591" s="8"/>
      <c r="P591" s="8"/>
      <c r="Q591" s="8"/>
      <c r="R591" s="8"/>
      <c r="S591" s="8"/>
      <c r="T591" s="82"/>
    </row>
    <row r="592" spans="1:20" ht="13.5" customHeight="1" x14ac:dyDescent="0.25">
      <c r="A592" s="307">
        <v>6</v>
      </c>
      <c r="B592" s="307"/>
      <c r="C592" s="170"/>
      <c r="D592" s="309"/>
      <c r="E592" s="170"/>
      <c r="F592" s="311"/>
      <c r="G592" s="313"/>
      <c r="H592" s="315"/>
      <c r="I592" s="8"/>
      <c r="J592" s="8"/>
      <c r="K592" s="8"/>
      <c r="L592" s="8"/>
      <c r="M592" s="8"/>
      <c r="N592" s="8"/>
      <c r="O592" s="8"/>
      <c r="P592" s="8"/>
      <c r="Q592" s="8"/>
      <c r="R592" s="8"/>
      <c r="S592" s="8"/>
      <c r="T592" s="82"/>
    </row>
    <row r="593" spans="1:20" ht="13.5" customHeight="1" x14ac:dyDescent="0.25">
      <c r="A593" s="308"/>
      <c r="B593" s="308"/>
      <c r="C593" s="171" t="str">
        <f>IFERROR(VLOOKUP(C592,Списки!$E:$F,2,0)," ")</f>
        <v xml:space="preserve"> </v>
      </c>
      <c r="D593" s="310"/>
      <c r="E593" s="179" t="str">
        <f>IFERROR(VLOOKUP(E592,Списки!$E:$F,2,0)," ")</f>
        <v xml:space="preserve"> </v>
      </c>
      <c r="F593" s="312"/>
      <c r="G593" s="314"/>
      <c r="H593" s="315"/>
      <c r="I593" s="8"/>
      <c r="J593" s="8"/>
      <c r="K593" s="8"/>
      <c r="L593" s="8"/>
      <c r="M593" s="8"/>
      <c r="N593" s="8"/>
      <c r="O593" s="8"/>
      <c r="P593" s="8"/>
      <c r="Q593" s="8"/>
      <c r="R593" s="8"/>
      <c r="S593" s="8"/>
      <c r="T593" s="82"/>
    </row>
    <row r="594" spans="1:20" ht="13.5" customHeight="1" x14ac:dyDescent="0.25">
      <c r="A594" s="307">
        <v>7</v>
      </c>
      <c r="B594" s="307"/>
      <c r="C594" s="170"/>
      <c r="D594" s="309"/>
      <c r="E594" s="170"/>
      <c r="F594" s="311"/>
      <c r="G594" s="313"/>
      <c r="H594" s="315"/>
      <c r="I594" s="8"/>
      <c r="J594" s="8"/>
      <c r="K594" s="8"/>
      <c r="L594" s="8"/>
      <c r="M594" s="8"/>
      <c r="N594" s="8"/>
      <c r="O594" s="8"/>
      <c r="P594" s="8"/>
      <c r="Q594" s="8"/>
      <c r="R594" s="8"/>
      <c r="S594" s="8"/>
      <c r="T594" s="82"/>
    </row>
    <row r="595" spans="1:20" ht="13.5" customHeight="1" x14ac:dyDescent="0.25">
      <c r="A595" s="308"/>
      <c r="B595" s="308"/>
      <c r="C595" s="179" t="str">
        <f>IFERROR(VLOOKUP(C594,Списки!$E:$F,2,0)," ")</f>
        <v xml:space="preserve"> </v>
      </c>
      <c r="D595" s="310"/>
      <c r="E595" s="171" t="str">
        <f>IFERROR(VLOOKUP(E594,Списки!$E:$F,2,0)," ")</f>
        <v xml:space="preserve"> </v>
      </c>
      <c r="F595" s="312"/>
      <c r="G595" s="314"/>
      <c r="H595" s="315"/>
      <c r="I595" s="8"/>
      <c r="J595" s="8"/>
      <c r="K595" s="8"/>
      <c r="L595" s="8"/>
      <c r="M595" s="8"/>
      <c r="N595" s="8"/>
      <c r="O595" s="8"/>
      <c r="P595" s="8"/>
      <c r="Q595" s="8"/>
      <c r="R595" s="8"/>
      <c r="S595" s="8"/>
      <c r="T595" s="82"/>
    </row>
    <row r="596" spans="1:20" ht="13.5" customHeight="1" x14ac:dyDescent="0.25">
      <c r="A596" s="307">
        <v>8</v>
      </c>
      <c r="B596" s="307"/>
      <c r="C596" s="170"/>
      <c r="D596" s="309"/>
      <c r="E596" s="170"/>
      <c r="F596" s="311"/>
      <c r="G596" s="313"/>
      <c r="H596" s="315"/>
      <c r="I596" s="8"/>
      <c r="J596" s="8"/>
      <c r="K596" s="8"/>
      <c r="L596" s="8"/>
      <c r="M596" s="8"/>
      <c r="N596" s="8"/>
      <c r="O596" s="8"/>
      <c r="P596" s="8"/>
      <c r="Q596" s="8"/>
      <c r="R596" s="8"/>
      <c r="S596" s="8"/>
      <c r="T596" s="82"/>
    </row>
    <row r="597" spans="1:20" ht="13.5" customHeight="1" x14ac:dyDescent="0.25">
      <c r="A597" s="308"/>
      <c r="B597" s="308"/>
      <c r="C597" s="179" t="str">
        <f>IFERROR(VLOOKUP(C596,Списки!$E:$F,2,0)," ")</f>
        <v xml:space="preserve"> </v>
      </c>
      <c r="D597" s="310"/>
      <c r="E597" s="171" t="str">
        <f>IFERROR(VLOOKUP(E596,Списки!$E:$F,2,0)," ")</f>
        <v xml:space="preserve"> </v>
      </c>
      <c r="F597" s="312"/>
      <c r="G597" s="314"/>
      <c r="H597" s="315"/>
      <c r="I597" s="8"/>
      <c r="J597" s="8"/>
      <c r="K597" s="8"/>
      <c r="L597" s="8"/>
      <c r="M597" s="8"/>
      <c r="N597" s="8"/>
      <c r="O597" s="8"/>
      <c r="P597" s="8"/>
      <c r="Q597" s="8"/>
      <c r="R597" s="8"/>
      <c r="S597" s="8"/>
      <c r="T597" s="82"/>
    </row>
    <row r="598" spans="1:20" ht="13.5" customHeight="1" x14ac:dyDescent="0.25">
      <c r="A598" s="307">
        <v>9</v>
      </c>
      <c r="B598" s="307"/>
      <c r="C598" s="170"/>
      <c r="D598" s="309"/>
      <c r="E598" s="170"/>
      <c r="F598" s="311"/>
      <c r="G598" s="313"/>
      <c r="H598" s="315"/>
      <c r="I598" s="8"/>
      <c r="J598" s="8"/>
      <c r="K598" s="8"/>
      <c r="L598" s="8"/>
      <c r="M598" s="8"/>
      <c r="N598" s="8"/>
      <c r="O598" s="8"/>
      <c r="P598" s="8"/>
      <c r="Q598" s="8"/>
      <c r="R598" s="8"/>
      <c r="S598" s="8"/>
      <c r="T598" s="82"/>
    </row>
    <row r="599" spans="1:20" ht="13.5" customHeight="1" x14ac:dyDescent="0.25">
      <c r="A599" s="308"/>
      <c r="B599" s="308"/>
      <c r="C599" s="171" t="str">
        <f>IFERROR(VLOOKUP(C598,Списки!$E:$F,2,0)," ")</f>
        <v xml:space="preserve"> </v>
      </c>
      <c r="D599" s="310"/>
      <c r="E599" s="171" t="str">
        <f>IFERROR(VLOOKUP(E598,Списки!$E:$F,2,0)," ")</f>
        <v xml:space="preserve"> </v>
      </c>
      <c r="F599" s="312"/>
      <c r="G599" s="314"/>
      <c r="H599" s="315"/>
      <c r="I599" s="8"/>
      <c r="J599" s="8"/>
      <c r="K599" s="8"/>
      <c r="L599" s="8"/>
      <c r="M599" s="8"/>
      <c r="N599" s="8"/>
      <c r="O599" s="8"/>
      <c r="P599" s="8"/>
      <c r="Q599" s="8"/>
      <c r="R599" s="8"/>
      <c r="S599" s="8"/>
      <c r="T599" s="82"/>
    </row>
    <row r="600" spans="1:20" ht="13.5" customHeight="1" x14ac:dyDescent="0.25">
      <c r="A600" s="307">
        <v>10</v>
      </c>
      <c r="B600" s="307"/>
      <c r="C600" s="170"/>
      <c r="D600" s="309"/>
      <c r="E600" s="170"/>
      <c r="F600" s="311"/>
      <c r="G600" s="313"/>
      <c r="H600" s="315"/>
      <c r="I600" s="8"/>
      <c r="J600" s="8"/>
      <c r="K600" s="8"/>
      <c r="L600" s="8"/>
      <c r="M600" s="8"/>
      <c r="N600" s="8"/>
      <c r="O600" s="8"/>
      <c r="P600" s="8"/>
      <c r="Q600" s="8"/>
      <c r="R600" s="8"/>
      <c r="S600" s="8"/>
      <c r="T600" s="82"/>
    </row>
    <row r="601" spans="1:20" ht="13.5" customHeight="1" x14ac:dyDescent="0.25">
      <c r="A601" s="308"/>
      <c r="B601" s="308"/>
      <c r="C601" s="171" t="str">
        <f>IFERROR(VLOOKUP(C600,Списки!$E:$F,2,0)," ")</f>
        <v xml:space="preserve"> </v>
      </c>
      <c r="D601" s="310"/>
      <c r="E601" s="171" t="str">
        <f>IFERROR(VLOOKUP(E600,Списки!$E:$F,2,0)," ")</f>
        <v xml:space="preserve"> </v>
      </c>
      <c r="F601" s="312"/>
      <c r="G601" s="314"/>
      <c r="H601" s="315"/>
      <c r="I601" s="8"/>
      <c r="J601" s="8"/>
      <c r="K601" s="8"/>
      <c r="L601" s="8"/>
      <c r="M601" s="8"/>
      <c r="N601" s="8"/>
      <c r="O601" s="8"/>
      <c r="P601" s="8"/>
      <c r="Q601" s="8"/>
      <c r="R601" s="8"/>
      <c r="S601" s="8"/>
      <c r="T601" s="82"/>
    </row>
    <row r="602" spans="1:20" ht="13.5" customHeight="1" x14ac:dyDescent="0.25">
      <c r="A602" s="307">
        <v>11</v>
      </c>
      <c r="B602" s="307"/>
      <c r="C602" s="170"/>
      <c r="D602" s="309"/>
      <c r="E602" s="170"/>
      <c r="F602" s="311"/>
      <c r="G602" s="313"/>
      <c r="H602" s="315"/>
      <c r="I602" s="8"/>
      <c r="J602" s="8"/>
      <c r="K602" s="8"/>
      <c r="L602" s="8"/>
      <c r="M602" s="8"/>
      <c r="N602" s="8"/>
      <c r="O602" s="8"/>
      <c r="P602" s="8"/>
      <c r="Q602" s="8"/>
      <c r="R602" s="8"/>
      <c r="S602" s="8"/>
      <c r="T602" s="82"/>
    </row>
    <row r="603" spans="1:20" ht="13.5" customHeight="1" x14ac:dyDescent="0.25">
      <c r="A603" s="308"/>
      <c r="B603" s="308"/>
      <c r="C603" s="171" t="str">
        <f>IFERROR(VLOOKUP(C602,Списки!$E:$F,2,0)," ")</f>
        <v xml:space="preserve"> </v>
      </c>
      <c r="D603" s="310"/>
      <c r="E603" s="171" t="str">
        <f>IFERROR(VLOOKUP(E602,Списки!$E:$F,2,0)," ")</f>
        <v xml:space="preserve"> </v>
      </c>
      <c r="F603" s="312"/>
      <c r="G603" s="314"/>
      <c r="H603" s="315"/>
      <c r="I603" s="8"/>
      <c r="J603" s="8"/>
      <c r="K603" s="8"/>
      <c r="L603" s="8"/>
      <c r="M603" s="8"/>
      <c r="N603" s="8"/>
      <c r="O603" s="8"/>
      <c r="P603" s="8"/>
      <c r="Q603" s="8"/>
      <c r="R603" s="8"/>
      <c r="S603" s="8"/>
      <c r="T603" s="82"/>
    </row>
    <row r="604" spans="1:20" ht="13.5" customHeight="1" x14ac:dyDescent="0.25">
      <c r="A604" s="307">
        <v>12</v>
      </c>
      <c r="B604" s="307"/>
      <c r="C604" s="170"/>
      <c r="D604" s="309"/>
      <c r="E604" s="170"/>
      <c r="F604" s="311"/>
      <c r="G604" s="313"/>
      <c r="H604" s="315"/>
      <c r="I604" s="8"/>
      <c r="J604" s="8"/>
      <c r="K604" s="8"/>
      <c r="L604" s="8"/>
      <c r="M604" s="8"/>
      <c r="N604" s="8"/>
      <c r="O604" s="8"/>
      <c r="P604" s="8"/>
      <c r="Q604" s="8"/>
      <c r="R604" s="8"/>
      <c r="S604" s="8"/>
      <c r="T604" s="82"/>
    </row>
    <row r="605" spans="1:20" ht="13.5" customHeight="1" x14ac:dyDescent="0.25">
      <c r="A605" s="308"/>
      <c r="B605" s="308"/>
      <c r="C605" s="171" t="str">
        <f>IFERROR(VLOOKUP(C604,Списки!$E:$F,2,0)," ")</f>
        <v xml:space="preserve"> </v>
      </c>
      <c r="D605" s="310"/>
      <c r="E605" s="171" t="str">
        <f>IFERROR(VLOOKUP(E604,Списки!$E:$F,2,0)," ")</f>
        <v xml:space="preserve"> </v>
      </c>
      <c r="F605" s="312"/>
      <c r="G605" s="314"/>
      <c r="H605" s="315"/>
      <c r="I605" s="8"/>
      <c r="J605" s="8"/>
      <c r="K605" s="8"/>
      <c r="L605" s="8"/>
      <c r="M605" s="8"/>
      <c r="N605" s="8"/>
      <c r="O605" s="8"/>
      <c r="P605" s="8"/>
      <c r="Q605" s="8"/>
      <c r="R605" s="8"/>
      <c r="S605" s="8"/>
      <c r="T605" s="82"/>
    </row>
    <row r="606" spans="1:20" ht="13.5" customHeight="1" x14ac:dyDescent="0.25">
      <c r="A606" s="307">
        <v>13</v>
      </c>
      <c r="B606" s="307"/>
      <c r="C606" s="170"/>
      <c r="D606" s="309"/>
      <c r="E606" s="170"/>
      <c r="F606" s="311"/>
      <c r="G606" s="313"/>
      <c r="H606" s="315"/>
      <c r="I606" s="8"/>
      <c r="J606" s="8"/>
      <c r="K606" s="8"/>
      <c r="L606" s="8"/>
      <c r="M606" s="8"/>
      <c r="N606" s="8"/>
      <c r="O606" s="8"/>
      <c r="P606" s="8"/>
      <c r="Q606" s="8"/>
      <c r="R606" s="8"/>
      <c r="S606" s="8"/>
      <c r="T606" s="82"/>
    </row>
    <row r="607" spans="1:20" ht="13.5" customHeight="1" x14ac:dyDescent="0.25">
      <c r="A607" s="308"/>
      <c r="B607" s="308"/>
      <c r="C607" s="171" t="str">
        <f>IFERROR(VLOOKUP(C606,Списки!$E:$F,2,0)," ")</f>
        <v xml:space="preserve"> </v>
      </c>
      <c r="D607" s="310"/>
      <c r="E607" s="171" t="str">
        <f>IFERROR(VLOOKUP(E606,Списки!$E:$F,2,0)," ")</f>
        <v xml:space="preserve"> </v>
      </c>
      <c r="F607" s="312"/>
      <c r="G607" s="314"/>
      <c r="H607" s="315"/>
      <c r="I607" s="8"/>
      <c r="J607" s="8"/>
      <c r="K607" s="8"/>
      <c r="L607" s="8"/>
      <c r="M607" s="8"/>
      <c r="N607" s="8"/>
      <c r="O607" s="8"/>
      <c r="P607" s="8"/>
      <c r="Q607" s="8"/>
      <c r="R607" s="8"/>
      <c r="S607" s="8"/>
      <c r="T607" s="82"/>
    </row>
    <row r="608" spans="1:20" ht="13.5" customHeight="1" x14ac:dyDescent="0.25">
      <c r="A608" s="307">
        <v>14</v>
      </c>
      <c r="B608" s="307"/>
      <c r="C608" s="170"/>
      <c r="D608" s="309"/>
      <c r="E608" s="170"/>
      <c r="F608" s="311"/>
      <c r="G608" s="313"/>
      <c r="H608" s="315"/>
      <c r="I608" s="8"/>
      <c r="J608" s="8"/>
      <c r="K608" s="8"/>
      <c r="L608" s="8"/>
      <c r="M608" s="8"/>
      <c r="N608" s="8"/>
      <c r="O608" s="8"/>
      <c r="P608" s="8"/>
      <c r="Q608" s="8"/>
      <c r="R608" s="8"/>
      <c r="S608" s="8"/>
      <c r="T608" s="82"/>
    </row>
    <row r="609" spans="1:20" ht="13.5" customHeight="1" x14ac:dyDescent="0.25">
      <c r="A609" s="308"/>
      <c r="B609" s="308"/>
      <c r="C609" s="171" t="str">
        <f>IFERROR(VLOOKUP(C608,Списки!$E:$F,2,0)," ")</f>
        <v xml:space="preserve"> </v>
      </c>
      <c r="D609" s="310"/>
      <c r="E609" s="171" t="str">
        <f>IFERROR(VLOOKUP(E608,Списки!$E:$F,2,0)," ")</f>
        <v xml:space="preserve"> </v>
      </c>
      <c r="F609" s="312"/>
      <c r="G609" s="314"/>
      <c r="H609" s="315"/>
      <c r="I609" s="8"/>
      <c r="J609" s="8"/>
      <c r="K609" s="8"/>
      <c r="L609" s="8"/>
      <c r="M609" s="8"/>
      <c r="N609" s="8"/>
      <c r="O609" s="8"/>
      <c r="P609" s="8"/>
      <c r="Q609" s="8"/>
      <c r="R609" s="8"/>
      <c r="S609" s="8"/>
      <c r="T609" s="82"/>
    </row>
    <row r="610" spans="1:20" ht="13.5" customHeight="1" x14ac:dyDescent="0.25">
      <c r="A610" s="307">
        <v>15</v>
      </c>
      <c r="B610" s="307"/>
      <c r="C610" s="170"/>
      <c r="D610" s="309"/>
      <c r="E610" s="170"/>
      <c r="F610" s="311"/>
      <c r="G610" s="313"/>
      <c r="H610" s="315"/>
      <c r="I610" s="8"/>
      <c r="J610" s="8"/>
      <c r="K610" s="8"/>
      <c r="L610" s="8"/>
      <c r="M610" s="8"/>
      <c r="N610" s="8"/>
      <c r="O610" s="8"/>
      <c r="P610" s="8"/>
      <c r="Q610" s="8"/>
      <c r="R610" s="8"/>
      <c r="S610" s="8"/>
      <c r="T610" s="82"/>
    </row>
    <row r="611" spans="1:20" ht="13.5" customHeight="1" x14ac:dyDescent="0.25">
      <c r="A611" s="308"/>
      <c r="B611" s="308"/>
      <c r="C611" s="171" t="str">
        <f>IFERROR(VLOOKUP(C610,Списки!$E:$F,2,0)," ")</f>
        <v xml:space="preserve"> </v>
      </c>
      <c r="D611" s="310"/>
      <c r="E611" s="171" t="str">
        <f>IFERROR(VLOOKUP(E610,Списки!$E:$F,2,0)," ")</f>
        <v xml:space="preserve"> </v>
      </c>
      <c r="F611" s="312"/>
      <c r="G611" s="314"/>
      <c r="H611" s="315"/>
      <c r="I611" s="8"/>
      <c r="J611" s="8"/>
      <c r="K611" s="8"/>
      <c r="L611" s="8"/>
      <c r="M611" s="8"/>
      <c r="N611" s="8"/>
      <c r="O611" s="8"/>
      <c r="P611" s="8"/>
      <c r="Q611" s="8"/>
      <c r="R611" s="8"/>
      <c r="S611" s="8"/>
      <c r="T611" s="82"/>
    </row>
    <row r="612" spans="1:20" x14ac:dyDescent="0.25">
      <c r="A612" s="36"/>
      <c r="B612" s="37"/>
      <c r="C612" s="173"/>
      <c r="D612" s="173"/>
      <c r="E612" s="174" t="s">
        <v>30</v>
      </c>
      <c r="F612" s="39">
        <f>IFERROR(SUM(IFERROR(IF((LOOKUP(9E+307,F582:F611))&gt;$M$39,(LOOKUP(9E+307,F582:F611))-$M$39,IF((LOOKUP(9E+307,F582:F611))&lt;0.166666667,0+(LOOKUP(9E+307,F582:F611))+1-$M$39,0)),0),(IF(AND(IF(D582,$M$38-D582,0)&gt;0,F582,F582&gt;D582),$M$38-D582,IF(AND(D582,F582,D582&gt;F582),"error",0)))),"ОШИБКА")</f>
        <v>0</v>
      </c>
      <c r="G612" s="40" t="s">
        <v>27</v>
      </c>
      <c r="H612" s="38">
        <f>SUM(H582:H611)</f>
        <v>0</v>
      </c>
      <c r="I612" s="8"/>
      <c r="J612" s="8"/>
      <c r="K612" s="8"/>
      <c r="L612" s="8"/>
      <c r="M612" s="8"/>
      <c r="N612" s="8"/>
      <c r="O612" s="8"/>
      <c r="P612" s="8"/>
      <c r="Q612" s="8"/>
      <c r="R612" s="8"/>
      <c r="S612" s="8"/>
      <c r="T612" s="82"/>
    </row>
    <row r="613" spans="1:20" ht="15.75" x14ac:dyDescent="0.25">
      <c r="A613" s="316">
        <f>DATE(K1,J1,19)</f>
        <v>43849</v>
      </c>
      <c r="B613" s="316"/>
      <c r="C613" s="316"/>
      <c r="D613" s="316"/>
      <c r="E613" s="316"/>
      <c r="F613" s="316"/>
      <c r="G613" s="316"/>
      <c r="H613" s="316"/>
      <c r="I613" s="8"/>
      <c r="J613" s="8"/>
      <c r="K613" s="8"/>
      <c r="L613" s="8"/>
      <c r="M613" s="8"/>
      <c r="N613" s="8"/>
      <c r="O613" s="8"/>
      <c r="P613" s="8"/>
      <c r="Q613" s="8"/>
      <c r="R613" s="8"/>
      <c r="S613" s="8"/>
      <c r="T613" s="82"/>
    </row>
    <row r="614" spans="1:20" ht="13.5" customHeight="1" x14ac:dyDescent="0.25">
      <c r="A614" s="318"/>
      <c r="B614" s="320" t="s">
        <v>34</v>
      </c>
      <c r="C614" s="175" t="s">
        <v>39</v>
      </c>
      <c r="D614" s="322" t="s">
        <v>36</v>
      </c>
      <c r="E614" s="175" t="s">
        <v>37</v>
      </c>
      <c r="F614" s="320" t="s">
        <v>36</v>
      </c>
      <c r="G614" s="324" t="s">
        <v>35</v>
      </c>
      <c r="H614" s="315" t="s">
        <v>40</v>
      </c>
      <c r="I614" s="8"/>
      <c r="J614" s="8"/>
      <c r="K614" s="8"/>
      <c r="L614" s="8"/>
      <c r="M614" s="8"/>
      <c r="N614" s="8"/>
      <c r="O614" s="8"/>
      <c r="P614" s="8"/>
      <c r="Q614" s="8"/>
      <c r="R614" s="8"/>
      <c r="S614" s="8"/>
      <c r="T614" s="82"/>
    </row>
    <row r="615" spans="1:20" ht="13.5" customHeight="1" x14ac:dyDescent="0.25">
      <c r="A615" s="319"/>
      <c r="B615" s="321"/>
      <c r="C615" s="169" t="s">
        <v>38</v>
      </c>
      <c r="D615" s="323"/>
      <c r="E615" s="169" t="s">
        <v>38</v>
      </c>
      <c r="F615" s="321"/>
      <c r="G615" s="325"/>
      <c r="H615" s="315"/>
      <c r="I615" s="8"/>
      <c r="J615" s="8"/>
      <c r="K615" s="8"/>
      <c r="L615" s="8"/>
      <c r="M615" s="8"/>
      <c r="N615" s="8"/>
      <c r="O615" s="8"/>
      <c r="P615" s="8"/>
      <c r="Q615" s="8"/>
      <c r="R615" s="8"/>
      <c r="S615" s="8"/>
      <c r="T615" s="82"/>
    </row>
    <row r="616" spans="1:20" ht="13.5" customHeight="1" x14ac:dyDescent="0.25">
      <c r="A616" s="307">
        <v>1</v>
      </c>
      <c r="B616" s="307"/>
      <c r="C616" s="170" t="s">
        <v>43</v>
      </c>
      <c r="D616" s="309"/>
      <c r="E616" s="170" t="s">
        <v>44</v>
      </c>
      <c r="F616" s="311"/>
      <c r="G616" s="313"/>
      <c r="H616" s="315"/>
      <c r="I616" s="8"/>
      <c r="J616" s="8"/>
      <c r="K616" s="8"/>
      <c r="L616" s="8"/>
      <c r="M616" s="8"/>
      <c r="N616" s="8"/>
      <c r="O616" s="8"/>
      <c r="P616" s="8"/>
      <c r="Q616" s="8"/>
      <c r="R616" s="8"/>
      <c r="S616" s="8"/>
      <c r="T616" s="82"/>
    </row>
    <row r="617" spans="1:20" ht="13.5" customHeight="1" x14ac:dyDescent="0.25">
      <c r="A617" s="308"/>
      <c r="B617" s="308"/>
      <c r="C617" s="171" t="str">
        <f>IFERROR(VLOOKUP(C616,Списки!$E:$F,2,0)," ")</f>
        <v>SAVUSHKINA ST 128</v>
      </c>
      <c r="D617" s="310"/>
      <c r="E617" s="171" t="str">
        <f>IFERROR(VLOOKUP(E616,Списки!$E:$F,2,0)," ")</f>
        <v>LEVASHOVSKOE HWY 20</v>
      </c>
      <c r="F617" s="312"/>
      <c r="G617" s="314"/>
      <c r="H617" s="315"/>
      <c r="I617" s="8"/>
      <c r="J617" s="8"/>
      <c r="K617" s="8"/>
      <c r="L617" s="8"/>
      <c r="M617" s="8"/>
      <c r="N617" s="8"/>
      <c r="O617" s="8"/>
      <c r="P617" s="8"/>
      <c r="Q617" s="8"/>
      <c r="R617" s="8"/>
      <c r="S617" s="8"/>
      <c r="T617" s="82"/>
    </row>
    <row r="618" spans="1:20" ht="13.5" customHeight="1" x14ac:dyDescent="0.25">
      <c r="A618" s="307">
        <v>2</v>
      </c>
      <c r="B618" s="307"/>
      <c r="C618" s="170" t="s">
        <v>44</v>
      </c>
      <c r="D618" s="309"/>
      <c r="E618" s="170"/>
      <c r="F618" s="311"/>
      <c r="G618" s="313"/>
      <c r="H618" s="315"/>
      <c r="I618" s="8"/>
      <c r="J618" s="8"/>
      <c r="K618" s="8"/>
      <c r="L618" s="8"/>
      <c r="M618" s="8"/>
      <c r="N618" s="8"/>
      <c r="O618" s="8"/>
      <c r="P618" s="8"/>
      <c r="Q618" s="8"/>
      <c r="R618" s="8"/>
      <c r="S618" s="8"/>
      <c r="T618" s="82"/>
    </row>
    <row r="619" spans="1:20" ht="13.5" customHeight="1" x14ac:dyDescent="0.25">
      <c r="A619" s="308"/>
      <c r="B619" s="308"/>
      <c r="C619" s="171" t="str">
        <f>IFERROR(VLOOKUP(C618,Списки!$E:$F,2,0)," ")</f>
        <v>LEVASHOVSKOE HWY 20</v>
      </c>
      <c r="D619" s="310"/>
      <c r="E619" s="171" t="str">
        <f>IFERROR(VLOOKUP(E618,Списки!$E:$F,2,0)," ")</f>
        <v xml:space="preserve"> </v>
      </c>
      <c r="F619" s="312"/>
      <c r="G619" s="314"/>
      <c r="H619" s="315"/>
      <c r="I619" s="8"/>
      <c r="J619" s="8"/>
      <c r="K619" s="8"/>
      <c r="L619" s="8"/>
      <c r="M619" s="8"/>
      <c r="N619" s="8"/>
      <c r="O619" s="8"/>
      <c r="P619" s="8"/>
      <c r="Q619" s="8"/>
      <c r="R619" s="8"/>
      <c r="S619" s="8"/>
      <c r="T619" s="82"/>
    </row>
    <row r="620" spans="1:20" ht="13.5" customHeight="1" x14ac:dyDescent="0.25">
      <c r="A620" s="307">
        <v>3</v>
      </c>
      <c r="B620" s="307"/>
      <c r="C620" s="170"/>
      <c r="D620" s="309"/>
      <c r="E620" s="170"/>
      <c r="F620" s="311"/>
      <c r="G620" s="313"/>
      <c r="H620" s="315"/>
      <c r="I620" s="8"/>
      <c r="J620" s="8"/>
      <c r="K620" s="8"/>
      <c r="L620" s="8"/>
      <c r="M620" s="8"/>
      <c r="N620" s="8"/>
      <c r="O620" s="8"/>
      <c r="P620" s="8"/>
      <c r="Q620" s="8"/>
      <c r="R620" s="8"/>
      <c r="S620" s="8"/>
      <c r="T620" s="82"/>
    </row>
    <row r="621" spans="1:20" ht="13.5" customHeight="1" x14ac:dyDescent="0.25">
      <c r="A621" s="308"/>
      <c r="B621" s="308"/>
      <c r="C621" s="171" t="str">
        <f>IFERROR(VLOOKUP(C620,Списки!$E:$F,2,0)," ")</f>
        <v xml:space="preserve"> </v>
      </c>
      <c r="D621" s="310"/>
      <c r="E621" s="171" t="str">
        <f>IFERROR(VLOOKUP(E620,Списки!$E:$F,2,0)," ")</f>
        <v xml:space="preserve"> </v>
      </c>
      <c r="F621" s="312"/>
      <c r="G621" s="314"/>
      <c r="H621" s="315"/>
      <c r="I621" s="8"/>
      <c r="J621" s="8"/>
      <c r="K621" s="8"/>
      <c r="L621" s="8"/>
      <c r="M621" s="8"/>
      <c r="N621" s="8"/>
      <c r="O621" s="8"/>
      <c r="P621" s="8"/>
      <c r="Q621" s="8"/>
      <c r="R621" s="8"/>
      <c r="S621" s="8"/>
      <c r="T621" s="82"/>
    </row>
    <row r="622" spans="1:20" ht="13.5" customHeight="1" x14ac:dyDescent="0.25">
      <c r="A622" s="307">
        <v>4</v>
      </c>
      <c r="B622" s="307"/>
      <c r="C622" s="170"/>
      <c r="D622" s="309"/>
      <c r="E622" s="170"/>
      <c r="F622" s="311"/>
      <c r="G622" s="313"/>
      <c r="H622" s="315"/>
      <c r="I622" s="8"/>
      <c r="J622" s="8"/>
      <c r="K622" s="8"/>
      <c r="L622" s="8"/>
      <c r="M622" s="8"/>
      <c r="N622" s="8"/>
      <c r="O622" s="8"/>
      <c r="P622" s="8"/>
      <c r="Q622" s="8"/>
      <c r="R622" s="8"/>
      <c r="S622" s="8"/>
      <c r="T622" s="82"/>
    </row>
    <row r="623" spans="1:20" ht="13.5" customHeight="1" x14ac:dyDescent="0.25">
      <c r="A623" s="308"/>
      <c r="B623" s="308"/>
      <c r="C623" s="171" t="str">
        <f>IFERROR(VLOOKUP(C622,Списки!$E:$F,2,0)," ")</f>
        <v xml:space="preserve"> </v>
      </c>
      <c r="D623" s="310"/>
      <c r="E623" s="171" t="str">
        <f>IFERROR(VLOOKUP(E622,Списки!$E:$F,2,0)," ")</f>
        <v xml:space="preserve"> </v>
      </c>
      <c r="F623" s="312"/>
      <c r="G623" s="314"/>
      <c r="H623" s="315"/>
      <c r="I623" s="8"/>
      <c r="J623" s="8"/>
      <c r="K623" s="8"/>
      <c r="L623" s="8"/>
      <c r="M623" s="8"/>
      <c r="N623" s="8"/>
      <c r="O623" s="8"/>
      <c r="P623" s="8"/>
      <c r="Q623" s="8"/>
      <c r="R623" s="8"/>
      <c r="S623" s="8"/>
      <c r="T623" s="82"/>
    </row>
    <row r="624" spans="1:20" ht="13.5" customHeight="1" x14ac:dyDescent="0.25">
      <c r="A624" s="307">
        <v>5</v>
      </c>
      <c r="B624" s="307"/>
      <c r="C624" s="170"/>
      <c r="D624" s="309"/>
      <c r="E624" s="172"/>
      <c r="F624" s="311"/>
      <c r="G624" s="313"/>
      <c r="H624" s="315"/>
      <c r="I624" s="8"/>
      <c r="J624" s="8"/>
      <c r="K624" s="8"/>
      <c r="L624" s="8"/>
      <c r="M624" s="8"/>
      <c r="N624" s="8"/>
      <c r="O624" s="8"/>
      <c r="P624" s="8"/>
      <c r="Q624" s="8"/>
      <c r="R624" s="8"/>
      <c r="S624" s="8"/>
      <c r="T624" s="82"/>
    </row>
    <row r="625" spans="1:20" ht="13.5" customHeight="1" x14ac:dyDescent="0.25">
      <c r="A625" s="308"/>
      <c r="B625" s="308"/>
      <c r="C625" s="171" t="str">
        <f>IFERROR(VLOOKUP(C624,Списки!$E:$F,2,0)," ")</f>
        <v xml:space="preserve"> </v>
      </c>
      <c r="D625" s="310"/>
      <c r="E625" s="172" t="str">
        <f>IFERROR(VLOOKUP(E624,Списки!$E:$F,2,0)," ")</f>
        <v xml:space="preserve"> </v>
      </c>
      <c r="F625" s="312"/>
      <c r="G625" s="314"/>
      <c r="H625" s="315"/>
      <c r="I625" s="8"/>
      <c r="J625" s="8"/>
      <c r="K625" s="8"/>
      <c r="L625" s="8"/>
      <c r="M625" s="8"/>
      <c r="N625" s="8"/>
      <c r="O625" s="8"/>
      <c r="P625" s="8"/>
      <c r="Q625" s="8"/>
      <c r="R625" s="8"/>
      <c r="S625" s="8"/>
      <c r="T625" s="82"/>
    </row>
    <row r="626" spans="1:20" ht="13.5" customHeight="1" x14ac:dyDescent="0.25">
      <c r="A626" s="307">
        <v>6</v>
      </c>
      <c r="B626" s="307"/>
      <c r="C626" s="170"/>
      <c r="D626" s="309"/>
      <c r="E626" s="170"/>
      <c r="F626" s="311"/>
      <c r="G626" s="313"/>
      <c r="H626" s="315"/>
      <c r="I626" s="8"/>
      <c r="J626" s="8"/>
      <c r="K626" s="8"/>
      <c r="L626" s="8"/>
      <c r="M626" s="8"/>
      <c r="N626" s="8"/>
      <c r="O626" s="8"/>
      <c r="P626" s="8"/>
      <c r="Q626" s="8"/>
      <c r="R626" s="8"/>
      <c r="S626" s="8"/>
      <c r="T626" s="82"/>
    </row>
    <row r="627" spans="1:20" ht="13.5" customHeight="1" x14ac:dyDescent="0.25">
      <c r="A627" s="308"/>
      <c r="B627" s="308"/>
      <c r="C627" s="171" t="str">
        <f>IFERROR(VLOOKUP(C626,Списки!$E:$F,2,0)," ")</f>
        <v xml:space="preserve"> </v>
      </c>
      <c r="D627" s="310"/>
      <c r="E627" s="179" t="str">
        <f>IFERROR(VLOOKUP(E626,Списки!$E:$F,2,0)," ")</f>
        <v xml:space="preserve"> </v>
      </c>
      <c r="F627" s="312"/>
      <c r="G627" s="314"/>
      <c r="H627" s="315"/>
      <c r="I627" s="8"/>
      <c r="J627" s="8"/>
      <c r="K627" s="8"/>
      <c r="L627" s="8"/>
      <c r="M627" s="8"/>
      <c r="N627" s="8"/>
      <c r="O627" s="8"/>
      <c r="P627" s="8"/>
      <c r="Q627" s="8"/>
      <c r="R627" s="8"/>
      <c r="S627" s="8"/>
      <c r="T627" s="82"/>
    </row>
    <row r="628" spans="1:20" ht="13.5" customHeight="1" x14ac:dyDescent="0.25">
      <c r="A628" s="307">
        <v>7</v>
      </c>
      <c r="B628" s="307"/>
      <c r="C628" s="170"/>
      <c r="D628" s="309"/>
      <c r="E628" s="170"/>
      <c r="F628" s="311"/>
      <c r="G628" s="313"/>
      <c r="H628" s="315"/>
      <c r="I628" s="8"/>
      <c r="J628" s="8"/>
      <c r="K628" s="8"/>
      <c r="L628" s="8"/>
      <c r="M628" s="8"/>
      <c r="N628" s="8"/>
      <c r="O628" s="8"/>
      <c r="P628" s="8"/>
      <c r="Q628" s="8"/>
      <c r="R628" s="8"/>
      <c r="S628" s="8"/>
      <c r="T628" s="82"/>
    </row>
    <row r="629" spans="1:20" ht="13.5" customHeight="1" x14ac:dyDescent="0.25">
      <c r="A629" s="308"/>
      <c r="B629" s="308"/>
      <c r="C629" s="179" t="str">
        <f>IFERROR(VLOOKUP(C628,Списки!$E:$F,2,0)," ")</f>
        <v xml:space="preserve"> </v>
      </c>
      <c r="D629" s="310"/>
      <c r="E629" s="171" t="str">
        <f>IFERROR(VLOOKUP(E628,Списки!$E:$F,2,0)," ")</f>
        <v xml:space="preserve"> </v>
      </c>
      <c r="F629" s="312"/>
      <c r="G629" s="314"/>
      <c r="H629" s="315"/>
      <c r="I629" s="8"/>
      <c r="J629" s="8"/>
      <c r="K629" s="8"/>
      <c r="L629" s="8"/>
      <c r="M629" s="8"/>
      <c r="N629" s="8"/>
      <c r="O629" s="8"/>
      <c r="P629" s="8"/>
      <c r="Q629" s="8"/>
      <c r="R629" s="8"/>
      <c r="S629" s="8"/>
      <c r="T629" s="82"/>
    </row>
    <row r="630" spans="1:20" ht="13.5" customHeight="1" x14ac:dyDescent="0.25">
      <c r="A630" s="307">
        <v>8</v>
      </c>
      <c r="B630" s="307"/>
      <c r="C630" s="170"/>
      <c r="D630" s="309"/>
      <c r="E630" s="170"/>
      <c r="F630" s="311"/>
      <c r="G630" s="313"/>
      <c r="H630" s="315"/>
      <c r="I630" s="8"/>
      <c r="J630" s="8"/>
      <c r="K630" s="8"/>
      <c r="L630" s="8"/>
      <c r="M630" s="8"/>
      <c r="N630" s="8"/>
      <c r="O630" s="8"/>
      <c r="P630" s="8"/>
      <c r="Q630" s="8"/>
      <c r="R630" s="8"/>
      <c r="S630" s="8"/>
      <c r="T630" s="82"/>
    </row>
    <row r="631" spans="1:20" ht="13.5" customHeight="1" x14ac:dyDescent="0.25">
      <c r="A631" s="308"/>
      <c r="B631" s="308"/>
      <c r="C631" s="179" t="str">
        <f>IFERROR(VLOOKUP(C630,Списки!$E:$F,2,0)," ")</f>
        <v xml:space="preserve"> </v>
      </c>
      <c r="D631" s="310"/>
      <c r="E631" s="171" t="str">
        <f>IFERROR(VLOOKUP(E630,Списки!$E:$F,2,0)," ")</f>
        <v xml:space="preserve"> </v>
      </c>
      <c r="F631" s="312"/>
      <c r="G631" s="314"/>
      <c r="H631" s="315"/>
      <c r="I631" s="8"/>
      <c r="J631" s="8"/>
      <c r="K631" s="8"/>
      <c r="L631" s="8"/>
      <c r="M631" s="8"/>
      <c r="N631" s="8"/>
      <c r="O631" s="8"/>
      <c r="P631" s="8"/>
      <c r="Q631" s="8"/>
      <c r="R631" s="8"/>
      <c r="S631" s="8"/>
      <c r="T631" s="82"/>
    </row>
    <row r="632" spans="1:20" ht="13.5" customHeight="1" x14ac:dyDescent="0.25">
      <c r="A632" s="307">
        <v>9</v>
      </c>
      <c r="B632" s="307"/>
      <c r="C632" s="170"/>
      <c r="D632" s="309"/>
      <c r="E632" s="170"/>
      <c r="F632" s="311"/>
      <c r="G632" s="313"/>
      <c r="H632" s="315"/>
      <c r="I632" s="8"/>
      <c r="J632" s="8"/>
      <c r="K632" s="8"/>
      <c r="L632" s="8"/>
      <c r="M632" s="8"/>
      <c r="N632" s="8"/>
      <c r="O632" s="8"/>
      <c r="P632" s="8"/>
      <c r="Q632" s="8"/>
      <c r="R632" s="8"/>
      <c r="S632" s="8"/>
      <c r="T632" s="82"/>
    </row>
    <row r="633" spans="1:20" ht="13.5" customHeight="1" x14ac:dyDescent="0.25">
      <c r="A633" s="308"/>
      <c r="B633" s="308"/>
      <c r="C633" s="171" t="str">
        <f>IFERROR(VLOOKUP(C632,Списки!$E:$F,2,0)," ")</f>
        <v xml:space="preserve"> </v>
      </c>
      <c r="D633" s="310"/>
      <c r="E633" s="171" t="str">
        <f>IFERROR(VLOOKUP(E632,Списки!$E:$F,2,0)," ")</f>
        <v xml:space="preserve"> </v>
      </c>
      <c r="F633" s="312"/>
      <c r="G633" s="314"/>
      <c r="H633" s="315"/>
      <c r="I633" s="8"/>
      <c r="J633" s="8"/>
      <c r="K633" s="8"/>
      <c r="L633" s="8"/>
      <c r="M633" s="8"/>
      <c r="N633" s="8"/>
      <c r="O633" s="8"/>
      <c r="P633" s="8"/>
      <c r="Q633" s="8"/>
      <c r="R633" s="8"/>
      <c r="S633" s="8"/>
      <c r="T633" s="82"/>
    </row>
    <row r="634" spans="1:20" ht="13.5" customHeight="1" x14ac:dyDescent="0.25">
      <c r="A634" s="307">
        <v>10</v>
      </c>
      <c r="B634" s="307"/>
      <c r="C634" s="170"/>
      <c r="D634" s="309"/>
      <c r="E634" s="170"/>
      <c r="F634" s="311"/>
      <c r="G634" s="313"/>
      <c r="H634" s="315"/>
      <c r="I634" s="8"/>
      <c r="J634" s="8"/>
      <c r="K634" s="8"/>
      <c r="L634" s="8"/>
      <c r="M634" s="8"/>
      <c r="N634" s="8"/>
      <c r="O634" s="8"/>
      <c r="P634" s="8"/>
      <c r="Q634" s="8"/>
      <c r="R634" s="8"/>
      <c r="S634" s="8"/>
      <c r="T634" s="82"/>
    </row>
    <row r="635" spans="1:20" ht="13.5" customHeight="1" x14ac:dyDescent="0.25">
      <c r="A635" s="308"/>
      <c r="B635" s="308"/>
      <c r="C635" s="171" t="str">
        <f>IFERROR(VLOOKUP(C634,Списки!$E:$F,2,0)," ")</f>
        <v xml:space="preserve"> </v>
      </c>
      <c r="D635" s="310"/>
      <c r="E635" s="171" t="str">
        <f>IFERROR(VLOOKUP(E634,Списки!$E:$F,2,0)," ")</f>
        <v xml:space="preserve"> </v>
      </c>
      <c r="F635" s="312"/>
      <c r="G635" s="314"/>
      <c r="H635" s="315"/>
      <c r="I635" s="8"/>
      <c r="J635" s="8"/>
      <c r="K635" s="8"/>
      <c r="L635" s="8"/>
      <c r="M635" s="8"/>
      <c r="N635" s="8"/>
      <c r="O635" s="8"/>
      <c r="P635" s="8"/>
      <c r="Q635" s="8"/>
      <c r="R635" s="8"/>
      <c r="S635" s="8"/>
      <c r="T635" s="82"/>
    </row>
    <row r="636" spans="1:20" ht="13.5" customHeight="1" x14ac:dyDescent="0.25">
      <c r="A636" s="307">
        <v>11</v>
      </c>
      <c r="B636" s="307"/>
      <c r="C636" s="170"/>
      <c r="D636" s="309"/>
      <c r="E636" s="170"/>
      <c r="F636" s="311"/>
      <c r="G636" s="313"/>
      <c r="H636" s="315"/>
      <c r="I636" s="8"/>
      <c r="J636" s="8"/>
      <c r="K636" s="8"/>
      <c r="L636" s="8"/>
      <c r="M636" s="8"/>
      <c r="N636" s="8"/>
      <c r="O636" s="8"/>
      <c r="P636" s="8"/>
      <c r="Q636" s="8"/>
      <c r="R636" s="8"/>
      <c r="S636" s="8"/>
      <c r="T636" s="82"/>
    </row>
    <row r="637" spans="1:20" ht="13.5" customHeight="1" x14ac:dyDescent="0.25">
      <c r="A637" s="308"/>
      <c r="B637" s="308"/>
      <c r="C637" s="171" t="str">
        <f>IFERROR(VLOOKUP(C636,Списки!$E:$F,2,0)," ")</f>
        <v xml:space="preserve"> </v>
      </c>
      <c r="D637" s="310"/>
      <c r="E637" s="171" t="str">
        <f>IFERROR(VLOOKUP(E636,Списки!$E:$F,2,0)," ")</f>
        <v xml:space="preserve"> </v>
      </c>
      <c r="F637" s="312"/>
      <c r="G637" s="314"/>
      <c r="H637" s="315"/>
      <c r="I637" s="8"/>
      <c r="J637" s="8"/>
      <c r="K637" s="8"/>
      <c r="L637" s="8"/>
      <c r="M637" s="8"/>
      <c r="N637" s="8"/>
      <c r="O637" s="8"/>
      <c r="P637" s="8"/>
      <c r="Q637" s="8"/>
      <c r="R637" s="8"/>
      <c r="S637" s="8"/>
      <c r="T637" s="82"/>
    </row>
    <row r="638" spans="1:20" ht="13.5" customHeight="1" x14ac:dyDescent="0.25">
      <c r="A638" s="307">
        <v>12</v>
      </c>
      <c r="B638" s="307"/>
      <c r="C638" s="170"/>
      <c r="D638" s="309"/>
      <c r="E638" s="170"/>
      <c r="F638" s="311"/>
      <c r="G638" s="313"/>
      <c r="H638" s="315"/>
      <c r="I638" s="8"/>
      <c r="J638" s="8"/>
      <c r="K638" s="8"/>
      <c r="L638" s="8"/>
      <c r="M638" s="8"/>
      <c r="N638" s="8"/>
      <c r="O638" s="8"/>
      <c r="P638" s="8"/>
      <c r="Q638" s="8"/>
      <c r="R638" s="8"/>
      <c r="S638" s="8"/>
      <c r="T638" s="82"/>
    </row>
    <row r="639" spans="1:20" ht="13.5" customHeight="1" x14ac:dyDescent="0.25">
      <c r="A639" s="308"/>
      <c r="B639" s="308"/>
      <c r="C639" s="171" t="str">
        <f>IFERROR(VLOOKUP(C638,Списки!$E:$F,2,0)," ")</f>
        <v xml:space="preserve"> </v>
      </c>
      <c r="D639" s="310"/>
      <c r="E639" s="171" t="str">
        <f>IFERROR(VLOOKUP(E638,Списки!$E:$F,2,0)," ")</f>
        <v xml:space="preserve"> </v>
      </c>
      <c r="F639" s="312"/>
      <c r="G639" s="314"/>
      <c r="H639" s="315"/>
      <c r="I639" s="8"/>
      <c r="J639" s="8"/>
      <c r="K639" s="8"/>
      <c r="L639" s="8"/>
      <c r="M639" s="8"/>
      <c r="N639" s="8"/>
      <c r="O639" s="8"/>
      <c r="P639" s="8"/>
      <c r="Q639" s="8"/>
      <c r="R639" s="8"/>
      <c r="S639" s="8"/>
      <c r="T639" s="82"/>
    </row>
    <row r="640" spans="1:20" ht="13.5" customHeight="1" x14ac:dyDescent="0.25">
      <c r="A640" s="307">
        <v>13</v>
      </c>
      <c r="B640" s="307"/>
      <c r="C640" s="170"/>
      <c r="D640" s="309"/>
      <c r="E640" s="170"/>
      <c r="F640" s="311"/>
      <c r="G640" s="313"/>
      <c r="H640" s="315"/>
      <c r="I640" s="8"/>
      <c r="J640" s="8"/>
      <c r="K640" s="8"/>
      <c r="L640" s="8"/>
      <c r="M640" s="8"/>
      <c r="N640" s="8"/>
      <c r="O640" s="8"/>
      <c r="P640" s="8"/>
      <c r="Q640" s="8"/>
      <c r="R640" s="8"/>
      <c r="S640" s="8"/>
      <c r="T640" s="82"/>
    </row>
    <row r="641" spans="1:20" ht="13.5" customHeight="1" x14ac:dyDescent="0.25">
      <c r="A641" s="308"/>
      <c r="B641" s="308"/>
      <c r="C641" s="171" t="str">
        <f>IFERROR(VLOOKUP(C640,Списки!$E:$F,2,0)," ")</f>
        <v xml:space="preserve"> </v>
      </c>
      <c r="D641" s="310"/>
      <c r="E641" s="171" t="str">
        <f>IFERROR(VLOOKUP(E640,Списки!$E:$F,2,0)," ")</f>
        <v xml:space="preserve"> </v>
      </c>
      <c r="F641" s="312"/>
      <c r="G641" s="314"/>
      <c r="H641" s="315"/>
      <c r="I641" s="8"/>
      <c r="J641" s="8"/>
      <c r="K641" s="8"/>
      <c r="L641" s="8"/>
      <c r="M641" s="8"/>
      <c r="N641" s="8"/>
      <c r="O641" s="8"/>
      <c r="P641" s="8"/>
      <c r="Q641" s="8"/>
      <c r="R641" s="8"/>
      <c r="S641" s="8"/>
      <c r="T641" s="82"/>
    </row>
    <row r="642" spans="1:20" ht="13.5" customHeight="1" x14ac:dyDescent="0.25">
      <c r="A642" s="307">
        <v>14</v>
      </c>
      <c r="B642" s="307"/>
      <c r="C642" s="170"/>
      <c r="D642" s="309"/>
      <c r="E642" s="170"/>
      <c r="F642" s="311"/>
      <c r="G642" s="313"/>
      <c r="H642" s="315"/>
      <c r="I642" s="8"/>
      <c r="J642" s="8"/>
      <c r="K642" s="8"/>
      <c r="L642" s="8"/>
      <c r="M642" s="8"/>
      <c r="N642" s="8"/>
      <c r="O642" s="8"/>
      <c r="P642" s="8"/>
      <c r="Q642" s="8"/>
      <c r="R642" s="8"/>
      <c r="S642" s="8"/>
      <c r="T642" s="82"/>
    </row>
    <row r="643" spans="1:20" ht="13.5" customHeight="1" x14ac:dyDescent="0.25">
      <c r="A643" s="308"/>
      <c r="B643" s="308"/>
      <c r="C643" s="171" t="str">
        <f>IFERROR(VLOOKUP(C642,Списки!$E:$F,2,0)," ")</f>
        <v xml:space="preserve"> </v>
      </c>
      <c r="D643" s="310"/>
      <c r="E643" s="171" t="str">
        <f>IFERROR(VLOOKUP(E642,Списки!$E:$F,2,0)," ")</f>
        <v xml:space="preserve"> </v>
      </c>
      <c r="F643" s="312"/>
      <c r="G643" s="314"/>
      <c r="H643" s="315"/>
      <c r="I643" s="8"/>
      <c r="J643" s="8"/>
      <c r="K643" s="8"/>
      <c r="L643" s="8"/>
      <c r="M643" s="8"/>
      <c r="N643" s="8"/>
      <c r="O643" s="8"/>
      <c r="P643" s="8"/>
      <c r="Q643" s="8"/>
      <c r="R643" s="8"/>
      <c r="S643" s="8"/>
      <c r="T643" s="82"/>
    </row>
    <row r="644" spans="1:20" ht="13.5" customHeight="1" x14ac:dyDescent="0.25">
      <c r="A644" s="307">
        <v>15</v>
      </c>
      <c r="B644" s="307"/>
      <c r="C644" s="170"/>
      <c r="D644" s="309"/>
      <c r="E644" s="170"/>
      <c r="F644" s="311"/>
      <c r="G644" s="313"/>
      <c r="H644" s="315"/>
      <c r="I644" s="8"/>
      <c r="J644" s="8"/>
      <c r="K644" s="8"/>
      <c r="L644" s="8"/>
      <c r="M644" s="8"/>
      <c r="N644" s="8"/>
      <c r="O644" s="8"/>
      <c r="P644" s="8"/>
      <c r="Q644" s="8"/>
      <c r="R644" s="8"/>
      <c r="S644" s="8"/>
      <c r="T644" s="82"/>
    </row>
    <row r="645" spans="1:20" ht="13.5" customHeight="1" x14ac:dyDescent="0.25">
      <c r="A645" s="308"/>
      <c r="B645" s="308"/>
      <c r="C645" s="171" t="str">
        <f>IFERROR(VLOOKUP(C644,Списки!$E:$F,2,0)," ")</f>
        <v xml:space="preserve"> </v>
      </c>
      <c r="D645" s="310"/>
      <c r="E645" s="171" t="str">
        <f>IFERROR(VLOOKUP(E644,Списки!$E:$F,2,0)," ")</f>
        <v xml:space="preserve"> </v>
      </c>
      <c r="F645" s="312"/>
      <c r="G645" s="314"/>
      <c r="H645" s="315"/>
      <c r="I645" s="8"/>
      <c r="J645" s="8"/>
      <c r="K645" s="8"/>
      <c r="L645" s="8"/>
      <c r="M645" s="8"/>
      <c r="N645" s="8"/>
      <c r="O645" s="8"/>
      <c r="P645" s="8"/>
      <c r="Q645" s="8"/>
      <c r="R645" s="8"/>
      <c r="S645" s="8"/>
      <c r="T645" s="82"/>
    </row>
    <row r="646" spans="1:20" x14ac:dyDescent="0.25">
      <c r="A646" s="36"/>
      <c r="B646" s="37"/>
      <c r="C646" s="173"/>
      <c r="D646" s="173"/>
      <c r="E646" s="174" t="s">
        <v>30</v>
      </c>
      <c r="F646" s="39">
        <f>IFERROR(SUM(IFERROR(IF((LOOKUP(9E+307,F616:F645))&gt;$M$39,(LOOKUP(9E+307,F616:F645))-$M$39,IF((LOOKUP(9E+307,F616:F645))&lt;0.166666667,0+(LOOKUP(9E+307,F616:F645))+1-$M$39,0)),0),(IF(AND(IF(D616,$M$38-D616,0)&gt;0,F616,F616&gt;D616),$M$38-D616,IF(AND(D616,F616,D616&gt;F616),"error",0)))),"ОШИБКА")</f>
        <v>0</v>
      </c>
      <c r="G646" s="40" t="s">
        <v>27</v>
      </c>
      <c r="H646" s="38">
        <f>SUM(H616:H645)</f>
        <v>0</v>
      </c>
      <c r="I646" s="8"/>
      <c r="J646" s="8"/>
      <c r="K646" s="8"/>
      <c r="L646" s="8"/>
      <c r="M646" s="8"/>
      <c r="N646" s="8"/>
      <c r="O646" s="8"/>
      <c r="P646" s="8"/>
      <c r="Q646" s="8"/>
      <c r="R646" s="8"/>
      <c r="S646" s="8"/>
      <c r="T646" s="82"/>
    </row>
    <row r="647" spans="1:20" ht="15.75" x14ac:dyDescent="0.25">
      <c r="A647" s="316">
        <f>DATE(K1,J1,20)</f>
        <v>43850</v>
      </c>
      <c r="B647" s="316"/>
      <c r="C647" s="316"/>
      <c r="D647" s="316"/>
      <c r="E647" s="316"/>
      <c r="F647" s="316"/>
      <c r="G647" s="316"/>
      <c r="H647" s="316"/>
      <c r="I647" s="8"/>
      <c r="J647" s="8"/>
      <c r="K647" s="8"/>
      <c r="L647" s="8"/>
      <c r="M647" s="8"/>
      <c r="N647" s="8"/>
      <c r="O647" s="8"/>
      <c r="P647" s="8"/>
      <c r="Q647" s="8"/>
      <c r="R647" s="8"/>
      <c r="S647" s="8"/>
      <c r="T647" s="82"/>
    </row>
    <row r="648" spans="1:20" ht="13.5" customHeight="1" x14ac:dyDescent="0.25">
      <c r="A648" s="318"/>
      <c r="B648" s="320" t="s">
        <v>34</v>
      </c>
      <c r="C648" s="175" t="s">
        <v>39</v>
      </c>
      <c r="D648" s="322" t="s">
        <v>36</v>
      </c>
      <c r="E648" s="175" t="s">
        <v>37</v>
      </c>
      <c r="F648" s="320" t="s">
        <v>36</v>
      </c>
      <c r="G648" s="324" t="s">
        <v>35</v>
      </c>
      <c r="H648" s="315" t="s">
        <v>40</v>
      </c>
      <c r="I648" s="8"/>
      <c r="J648" s="8"/>
      <c r="K648" s="8"/>
      <c r="L648" s="8"/>
      <c r="M648" s="8"/>
      <c r="N648" s="8"/>
      <c r="O648" s="8"/>
      <c r="P648" s="8"/>
      <c r="Q648" s="8"/>
      <c r="R648" s="8"/>
      <c r="S648" s="8"/>
      <c r="T648" s="82"/>
    </row>
    <row r="649" spans="1:20" ht="13.5" customHeight="1" x14ac:dyDescent="0.25">
      <c r="A649" s="319"/>
      <c r="B649" s="321"/>
      <c r="C649" s="169" t="s">
        <v>38</v>
      </c>
      <c r="D649" s="323"/>
      <c r="E649" s="169" t="s">
        <v>38</v>
      </c>
      <c r="F649" s="321"/>
      <c r="G649" s="325"/>
      <c r="H649" s="315"/>
      <c r="I649" s="8"/>
      <c r="J649" s="8"/>
      <c r="K649" s="8"/>
      <c r="L649" s="8"/>
      <c r="M649" s="8"/>
      <c r="N649" s="8"/>
      <c r="O649" s="8"/>
      <c r="P649" s="8"/>
      <c r="Q649" s="8"/>
      <c r="R649" s="8"/>
      <c r="S649" s="8"/>
      <c r="T649" s="82"/>
    </row>
    <row r="650" spans="1:20" ht="13.5" customHeight="1" x14ac:dyDescent="0.25">
      <c r="A650" s="307">
        <v>1</v>
      </c>
      <c r="B650" s="307"/>
      <c r="C650" s="170" t="s">
        <v>43</v>
      </c>
      <c r="D650" s="309"/>
      <c r="E650" s="170" t="s">
        <v>44</v>
      </c>
      <c r="F650" s="311"/>
      <c r="G650" s="313"/>
      <c r="H650" s="315"/>
      <c r="I650" s="8"/>
      <c r="J650" s="8"/>
      <c r="K650" s="8"/>
      <c r="L650" s="8"/>
      <c r="M650" s="8"/>
      <c r="N650" s="8"/>
      <c r="O650" s="8"/>
      <c r="P650" s="8"/>
      <c r="Q650" s="8"/>
      <c r="R650" s="8"/>
      <c r="S650" s="8"/>
      <c r="T650" s="82"/>
    </row>
    <row r="651" spans="1:20" ht="13.5" customHeight="1" x14ac:dyDescent="0.25">
      <c r="A651" s="308"/>
      <c r="B651" s="308"/>
      <c r="C651" s="171" t="str">
        <f>IFERROR(VLOOKUP(C650,Списки!$E:$F,2,0)," ")</f>
        <v>SAVUSHKINA ST 128</v>
      </c>
      <c r="D651" s="310"/>
      <c r="E651" s="171" t="str">
        <f>IFERROR(VLOOKUP(E650,Списки!$E:$F,2,0)," ")</f>
        <v>LEVASHOVSKOE HWY 20</v>
      </c>
      <c r="F651" s="312"/>
      <c r="G651" s="314"/>
      <c r="H651" s="315"/>
      <c r="I651" s="8"/>
      <c r="J651" s="8"/>
      <c r="K651" s="8"/>
      <c r="L651" s="8"/>
      <c r="M651" s="8"/>
      <c r="N651" s="8"/>
      <c r="O651" s="8"/>
      <c r="P651" s="8"/>
      <c r="Q651" s="8"/>
      <c r="R651" s="8"/>
      <c r="S651" s="8"/>
      <c r="T651" s="82"/>
    </row>
    <row r="652" spans="1:20" ht="13.5" customHeight="1" x14ac:dyDescent="0.25">
      <c r="A652" s="307">
        <v>2</v>
      </c>
      <c r="B652" s="307"/>
      <c r="C652" s="170" t="s">
        <v>44</v>
      </c>
      <c r="D652" s="309"/>
      <c r="E652" s="170"/>
      <c r="F652" s="311"/>
      <c r="G652" s="313"/>
      <c r="H652" s="315"/>
      <c r="I652" s="8"/>
      <c r="J652" s="8"/>
      <c r="K652" s="8"/>
      <c r="L652" s="8"/>
      <c r="M652" s="8"/>
      <c r="N652" s="8"/>
      <c r="O652" s="8"/>
      <c r="P652" s="8"/>
      <c r="Q652" s="8"/>
      <c r="R652" s="8"/>
      <c r="S652" s="8"/>
      <c r="T652" s="82"/>
    </row>
    <row r="653" spans="1:20" ht="13.5" customHeight="1" x14ac:dyDescent="0.25">
      <c r="A653" s="308"/>
      <c r="B653" s="308"/>
      <c r="C653" s="171" t="str">
        <f>IFERROR(VLOOKUP(C652,Списки!$E:$F,2,0)," ")</f>
        <v>LEVASHOVSKOE HWY 20</v>
      </c>
      <c r="D653" s="310"/>
      <c r="E653" s="171" t="str">
        <f>IFERROR(VLOOKUP(E652,Списки!$E:$F,2,0)," ")</f>
        <v xml:space="preserve"> </v>
      </c>
      <c r="F653" s="312"/>
      <c r="G653" s="314"/>
      <c r="H653" s="315"/>
      <c r="I653" s="8"/>
      <c r="J653" s="8"/>
      <c r="K653" s="8"/>
      <c r="L653" s="8"/>
      <c r="M653" s="8"/>
      <c r="N653" s="8"/>
      <c r="O653" s="8"/>
      <c r="P653" s="8"/>
      <c r="Q653" s="8"/>
      <c r="R653" s="8"/>
      <c r="S653" s="8"/>
      <c r="T653" s="82"/>
    </row>
    <row r="654" spans="1:20" ht="13.5" customHeight="1" x14ac:dyDescent="0.25">
      <c r="A654" s="307">
        <v>3</v>
      </c>
      <c r="B654" s="307"/>
      <c r="C654" s="170"/>
      <c r="D654" s="309"/>
      <c r="E654" s="170"/>
      <c r="F654" s="311"/>
      <c r="G654" s="313"/>
      <c r="H654" s="315"/>
      <c r="I654" s="8"/>
      <c r="J654" s="8"/>
      <c r="K654" s="8"/>
      <c r="L654" s="8"/>
      <c r="M654" s="8"/>
      <c r="N654" s="8"/>
      <c r="O654" s="8"/>
      <c r="P654" s="8"/>
      <c r="Q654" s="8"/>
      <c r="R654" s="8"/>
      <c r="S654" s="8"/>
      <c r="T654" s="82"/>
    </row>
    <row r="655" spans="1:20" ht="13.5" customHeight="1" x14ac:dyDescent="0.25">
      <c r="A655" s="308"/>
      <c r="B655" s="308"/>
      <c r="C655" s="171" t="str">
        <f>IFERROR(VLOOKUP(C654,Списки!$E:$F,2,0)," ")</f>
        <v xml:space="preserve"> </v>
      </c>
      <c r="D655" s="310"/>
      <c r="E655" s="171" t="str">
        <f>IFERROR(VLOOKUP(E654,Списки!$E:$F,2,0)," ")</f>
        <v xml:space="preserve"> </v>
      </c>
      <c r="F655" s="312"/>
      <c r="G655" s="314"/>
      <c r="H655" s="315"/>
      <c r="I655" s="8"/>
      <c r="J655" s="8"/>
      <c r="K655" s="8"/>
      <c r="L655" s="8"/>
      <c r="M655" s="8"/>
      <c r="N655" s="8"/>
      <c r="O655" s="8"/>
      <c r="P655" s="8"/>
      <c r="Q655" s="8"/>
      <c r="R655" s="8"/>
      <c r="S655" s="8"/>
      <c r="T655" s="82"/>
    </row>
    <row r="656" spans="1:20" ht="13.5" customHeight="1" x14ac:dyDescent="0.25">
      <c r="A656" s="307">
        <v>4</v>
      </c>
      <c r="B656" s="307"/>
      <c r="C656" s="170"/>
      <c r="D656" s="309"/>
      <c r="E656" s="170"/>
      <c r="F656" s="311"/>
      <c r="G656" s="313"/>
      <c r="H656" s="315"/>
      <c r="I656" s="8"/>
      <c r="J656" s="8"/>
      <c r="K656" s="8"/>
      <c r="L656" s="8"/>
      <c r="M656" s="8"/>
      <c r="N656" s="8"/>
      <c r="O656" s="8"/>
      <c r="P656" s="8"/>
      <c r="Q656" s="8"/>
      <c r="R656" s="8"/>
      <c r="S656" s="8"/>
      <c r="T656" s="82"/>
    </row>
    <row r="657" spans="1:20" ht="13.5" customHeight="1" x14ac:dyDescent="0.25">
      <c r="A657" s="308"/>
      <c r="B657" s="308"/>
      <c r="C657" s="171" t="str">
        <f>IFERROR(VLOOKUP(C656,Списки!$E:$F,2,0)," ")</f>
        <v xml:space="preserve"> </v>
      </c>
      <c r="D657" s="310"/>
      <c r="E657" s="171" t="str">
        <f>IFERROR(VLOOKUP(E656,Списки!$E:$F,2,0)," ")</f>
        <v xml:space="preserve"> </v>
      </c>
      <c r="F657" s="312"/>
      <c r="G657" s="314"/>
      <c r="H657" s="315"/>
      <c r="I657" s="8"/>
      <c r="J657" s="8"/>
      <c r="K657" s="8"/>
      <c r="L657" s="8"/>
      <c r="M657" s="8"/>
      <c r="N657" s="8"/>
      <c r="O657" s="8"/>
      <c r="P657" s="8"/>
      <c r="Q657" s="8"/>
      <c r="R657" s="8"/>
      <c r="S657" s="8"/>
      <c r="T657" s="82"/>
    </row>
    <row r="658" spans="1:20" ht="13.5" customHeight="1" x14ac:dyDescent="0.25">
      <c r="A658" s="307">
        <v>5</v>
      </c>
      <c r="B658" s="307"/>
      <c r="C658" s="170"/>
      <c r="D658" s="309"/>
      <c r="E658" s="172"/>
      <c r="F658" s="311"/>
      <c r="G658" s="313"/>
      <c r="H658" s="315"/>
      <c r="I658" s="8"/>
      <c r="J658" s="8"/>
      <c r="K658" s="8"/>
      <c r="L658" s="8"/>
      <c r="M658" s="8"/>
      <c r="N658" s="8"/>
      <c r="O658" s="8"/>
      <c r="P658" s="8"/>
      <c r="Q658" s="8"/>
      <c r="R658" s="8"/>
      <c r="S658" s="8"/>
      <c r="T658" s="82"/>
    </row>
    <row r="659" spans="1:20" ht="13.5" customHeight="1" x14ac:dyDescent="0.25">
      <c r="A659" s="308"/>
      <c r="B659" s="308"/>
      <c r="C659" s="171" t="str">
        <f>IFERROR(VLOOKUP(C658,Списки!$E:$F,2,0)," ")</f>
        <v xml:space="preserve"> </v>
      </c>
      <c r="D659" s="310"/>
      <c r="E659" s="172" t="str">
        <f>IFERROR(VLOOKUP(E658,Списки!$E:$F,2,0)," ")</f>
        <v xml:space="preserve"> </v>
      </c>
      <c r="F659" s="312"/>
      <c r="G659" s="314"/>
      <c r="H659" s="315"/>
      <c r="I659" s="8"/>
      <c r="J659" s="8"/>
      <c r="K659" s="8"/>
      <c r="L659" s="8"/>
      <c r="M659" s="8"/>
      <c r="N659" s="8"/>
      <c r="O659" s="8"/>
      <c r="P659" s="8"/>
      <c r="Q659" s="8"/>
      <c r="R659" s="8"/>
      <c r="S659" s="8"/>
      <c r="T659" s="82"/>
    </row>
    <row r="660" spans="1:20" ht="13.5" customHeight="1" x14ac:dyDescent="0.25">
      <c r="A660" s="307">
        <v>6</v>
      </c>
      <c r="B660" s="307"/>
      <c r="C660" s="170"/>
      <c r="D660" s="309"/>
      <c r="E660" s="170"/>
      <c r="F660" s="311"/>
      <c r="G660" s="313"/>
      <c r="H660" s="315"/>
      <c r="I660" s="8"/>
      <c r="J660" s="8"/>
      <c r="K660" s="8"/>
      <c r="L660" s="8"/>
      <c r="M660" s="8"/>
      <c r="N660" s="8"/>
      <c r="O660" s="8"/>
      <c r="P660" s="8"/>
      <c r="Q660" s="8"/>
      <c r="R660" s="8"/>
      <c r="S660" s="8"/>
      <c r="T660" s="82"/>
    </row>
    <row r="661" spans="1:20" ht="13.5" customHeight="1" x14ac:dyDescent="0.25">
      <c r="A661" s="308"/>
      <c r="B661" s="308"/>
      <c r="C661" s="171" t="str">
        <f>IFERROR(VLOOKUP(C660,Списки!$E:$F,2,0)," ")</f>
        <v xml:space="preserve"> </v>
      </c>
      <c r="D661" s="310"/>
      <c r="E661" s="179" t="str">
        <f>IFERROR(VLOOKUP(E660,Списки!$E:$F,2,0)," ")</f>
        <v xml:space="preserve"> </v>
      </c>
      <c r="F661" s="312"/>
      <c r="G661" s="314"/>
      <c r="H661" s="315"/>
      <c r="I661" s="8"/>
      <c r="J661" s="8"/>
      <c r="K661" s="8"/>
      <c r="L661" s="8"/>
      <c r="M661" s="8"/>
      <c r="N661" s="8"/>
      <c r="O661" s="8"/>
      <c r="P661" s="8"/>
      <c r="Q661" s="8"/>
      <c r="R661" s="8"/>
      <c r="S661" s="8"/>
      <c r="T661" s="82"/>
    </row>
    <row r="662" spans="1:20" ht="13.5" customHeight="1" x14ac:dyDescent="0.25">
      <c r="A662" s="307">
        <v>7</v>
      </c>
      <c r="B662" s="307"/>
      <c r="C662" s="170"/>
      <c r="D662" s="309"/>
      <c r="E662" s="170"/>
      <c r="F662" s="311"/>
      <c r="G662" s="313"/>
      <c r="H662" s="315"/>
      <c r="I662" s="8"/>
      <c r="J662" s="8"/>
      <c r="K662" s="8"/>
      <c r="L662" s="8"/>
      <c r="M662" s="8"/>
      <c r="N662" s="8"/>
      <c r="O662" s="8"/>
      <c r="P662" s="8"/>
      <c r="Q662" s="8"/>
      <c r="R662" s="8"/>
      <c r="S662" s="8"/>
      <c r="T662" s="82"/>
    </row>
    <row r="663" spans="1:20" ht="13.5" customHeight="1" x14ac:dyDescent="0.25">
      <c r="A663" s="308"/>
      <c r="B663" s="308"/>
      <c r="C663" s="179" t="str">
        <f>IFERROR(VLOOKUP(C662,Списки!$E:$F,2,0)," ")</f>
        <v xml:space="preserve"> </v>
      </c>
      <c r="D663" s="310"/>
      <c r="E663" s="171" t="str">
        <f>IFERROR(VLOOKUP(E662,Списки!$E:$F,2,0)," ")</f>
        <v xml:space="preserve"> </v>
      </c>
      <c r="F663" s="312"/>
      <c r="G663" s="314"/>
      <c r="H663" s="315"/>
      <c r="I663" s="8"/>
      <c r="J663" s="8"/>
      <c r="K663" s="8"/>
      <c r="L663" s="8"/>
      <c r="M663" s="8"/>
      <c r="N663" s="8"/>
      <c r="O663" s="8"/>
      <c r="P663" s="8"/>
      <c r="Q663" s="8"/>
      <c r="R663" s="8"/>
      <c r="S663" s="8"/>
      <c r="T663" s="82"/>
    </row>
    <row r="664" spans="1:20" ht="13.5" customHeight="1" x14ac:dyDescent="0.25">
      <c r="A664" s="307">
        <v>8</v>
      </c>
      <c r="B664" s="307"/>
      <c r="C664" s="170"/>
      <c r="D664" s="309"/>
      <c r="E664" s="170"/>
      <c r="F664" s="311"/>
      <c r="G664" s="313"/>
      <c r="H664" s="315"/>
      <c r="I664" s="8"/>
      <c r="J664" s="8"/>
      <c r="K664" s="8"/>
      <c r="L664" s="8"/>
      <c r="M664" s="8"/>
      <c r="N664" s="8"/>
      <c r="O664" s="8"/>
      <c r="P664" s="8"/>
      <c r="Q664" s="8"/>
      <c r="R664" s="8"/>
      <c r="S664" s="8"/>
      <c r="T664" s="82"/>
    </row>
    <row r="665" spans="1:20" ht="13.5" customHeight="1" x14ac:dyDescent="0.25">
      <c r="A665" s="308"/>
      <c r="B665" s="308"/>
      <c r="C665" s="179" t="str">
        <f>IFERROR(VLOOKUP(C664,Списки!$E:$F,2,0)," ")</f>
        <v xml:space="preserve"> </v>
      </c>
      <c r="D665" s="310"/>
      <c r="E665" s="171" t="str">
        <f>IFERROR(VLOOKUP(E664,Списки!$E:$F,2,0)," ")</f>
        <v xml:space="preserve"> </v>
      </c>
      <c r="F665" s="312"/>
      <c r="G665" s="314"/>
      <c r="H665" s="315"/>
      <c r="I665" s="8"/>
      <c r="J665" s="8"/>
      <c r="K665" s="8"/>
      <c r="L665" s="8"/>
      <c r="M665" s="8"/>
      <c r="N665" s="8"/>
      <c r="O665" s="8"/>
      <c r="P665" s="8"/>
      <c r="Q665" s="8"/>
      <c r="R665" s="8"/>
      <c r="S665" s="8"/>
      <c r="T665" s="82"/>
    </row>
    <row r="666" spans="1:20" ht="13.5" customHeight="1" x14ac:dyDescent="0.25">
      <c r="A666" s="307">
        <v>9</v>
      </c>
      <c r="B666" s="307"/>
      <c r="C666" s="170"/>
      <c r="D666" s="309"/>
      <c r="E666" s="170"/>
      <c r="F666" s="311"/>
      <c r="G666" s="313"/>
      <c r="H666" s="315"/>
      <c r="I666" s="8"/>
      <c r="J666" s="8"/>
      <c r="K666" s="8"/>
      <c r="L666" s="8"/>
      <c r="M666" s="8"/>
      <c r="N666" s="8"/>
      <c r="O666" s="8"/>
      <c r="P666" s="8"/>
      <c r="Q666" s="8"/>
      <c r="R666" s="8"/>
      <c r="S666" s="8"/>
      <c r="T666" s="82"/>
    </row>
    <row r="667" spans="1:20" ht="13.5" customHeight="1" x14ac:dyDescent="0.25">
      <c r="A667" s="308"/>
      <c r="B667" s="308"/>
      <c r="C667" s="171" t="str">
        <f>IFERROR(VLOOKUP(C666,Списки!$E:$F,2,0)," ")</f>
        <v xml:space="preserve"> </v>
      </c>
      <c r="D667" s="310"/>
      <c r="E667" s="171" t="str">
        <f>IFERROR(VLOOKUP(E666,Списки!$E:$F,2,0)," ")</f>
        <v xml:space="preserve"> </v>
      </c>
      <c r="F667" s="312"/>
      <c r="G667" s="314"/>
      <c r="H667" s="315"/>
      <c r="I667" s="8"/>
      <c r="J667" s="8"/>
      <c r="K667" s="8"/>
      <c r="L667" s="8"/>
      <c r="M667" s="8"/>
      <c r="N667" s="8"/>
      <c r="O667" s="8"/>
      <c r="P667" s="8"/>
      <c r="Q667" s="8"/>
      <c r="R667" s="8"/>
      <c r="S667" s="8"/>
      <c r="T667" s="82"/>
    </row>
    <row r="668" spans="1:20" ht="13.5" customHeight="1" x14ac:dyDescent="0.25">
      <c r="A668" s="307">
        <v>10</v>
      </c>
      <c r="B668" s="307"/>
      <c r="C668" s="170"/>
      <c r="D668" s="309"/>
      <c r="E668" s="170"/>
      <c r="F668" s="311"/>
      <c r="G668" s="313"/>
      <c r="H668" s="315"/>
      <c r="I668" s="8"/>
      <c r="J668" s="8"/>
      <c r="K668" s="8"/>
      <c r="L668" s="8"/>
      <c r="M668" s="8"/>
      <c r="N668" s="8"/>
      <c r="O668" s="8"/>
      <c r="P668" s="8"/>
      <c r="Q668" s="8"/>
      <c r="R668" s="8"/>
      <c r="S668" s="8"/>
      <c r="T668" s="82"/>
    </row>
    <row r="669" spans="1:20" ht="13.5" customHeight="1" x14ac:dyDescent="0.25">
      <c r="A669" s="308"/>
      <c r="B669" s="308"/>
      <c r="C669" s="171" t="str">
        <f>IFERROR(VLOOKUP(C668,Списки!$E:$F,2,0)," ")</f>
        <v xml:space="preserve"> </v>
      </c>
      <c r="D669" s="310"/>
      <c r="E669" s="171" t="str">
        <f>IFERROR(VLOOKUP(E668,Списки!$E:$F,2,0)," ")</f>
        <v xml:space="preserve"> </v>
      </c>
      <c r="F669" s="312"/>
      <c r="G669" s="314"/>
      <c r="H669" s="315"/>
      <c r="I669" s="8"/>
      <c r="J669" s="8"/>
      <c r="K669" s="8"/>
      <c r="L669" s="8"/>
      <c r="M669" s="8"/>
      <c r="N669" s="8"/>
      <c r="O669" s="8"/>
      <c r="P669" s="8"/>
      <c r="Q669" s="8"/>
      <c r="R669" s="8"/>
      <c r="S669" s="8"/>
      <c r="T669" s="82"/>
    </row>
    <row r="670" spans="1:20" ht="13.5" customHeight="1" x14ac:dyDescent="0.25">
      <c r="A670" s="307">
        <v>11</v>
      </c>
      <c r="B670" s="307"/>
      <c r="C670" s="170"/>
      <c r="D670" s="309"/>
      <c r="E670" s="170"/>
      <c r="F670" s="311"/>
      <c r="G670" s="313"/>
      <c r="H670" s="315"/>
      <c r="I670" s="8"/>
      <c r="J670" s="8"/>
      <c r="K670" s="8"/>
      <c r="L670" s="8"/>
      <c r="M670" s="8"/>
      <c r="N670" s="8"/>
      <c r="O670" s="8"/>
      <c r="P670" s="8"/>
      <c r="Q670" s="8"/>
      <c r="R670" s="8"/>
      <c r="S670" s="8"/>
      <c r="T670" s="82"/>
    </row>
    <row r="671" spans="1:20" ht="13.5" customHeight="1" x14ac:dyDescent="0.25">
      <c r="A671" s="308"/>
      <c r="B671" s="308"/>
      <c r="C671" s="171" t="str">
        <f>IFERROR(VLOOKUP(C670,Списки!$E:$F,2,0)," ")</f>
        <v xml:space="preserve"> </v>
      </c>
      <c r="D671" s="310"/>
      <c r="E671" s="171" t="str">
        <f>IFERROR(VLOOKUP(E670,Списки!$E:$F,2,0)," ")</f>
        <v xml:space="preserve"> </v>
      </c>
      <c r="F671" s="312"/>
      <c r="G671" s="314"/>
      <c r="H671" s="315"/>
      <c r="I671" s="8"/>
      <c r="J671" s="8"/>
      <c r="K671" s="8"/>
      <c r="L671" s="8"/>
      <c r="M671" s="8"/>
      <c r="N671" s="8"/>
      <c r="O671" s="8"/>
      <c r="P671" s="8"/>
      <c r="Q671" s="8"/>
      <c r="R671" s="8"/>
      <c r="S671" s="8"/>
      <c r="T671" s="82"/>
    </row>
    <row r="672" spans="1:20" ht="13.5" customHeight="1" x14ac:dyDescent="0.25">
      <c r="A672" s="307">
        <v>12</v>
      </c>
      <c r="B672" s="307"/>
      <c r="C672" s="170"/>
      <c r="D672" s="309"/>
      <c r="E672" s="170"/>
      <c r="F672" s="311"/>
      <c r="G672" s="313"/>
      <c r="H672" s="315"/>
      <c r="I672" s="8"/>
      <c r="J672" s="8"/>
      <c r="K672" s="8"/>
      <c r="L672" s="8"/>
      <c r="M672" s="8"/>
      <c r="N672" s="8"/>
      <c r="O672" s="8"/>
      <c r="P672" s="8"/>
      <c r="Q672" s="8"/>
      <c r="R672" s="8"/>
      <c r="S672" s="8"/>
      <c r="T672" s="82"/>
    </row>
    <row r="673" spans="1:20" ht="13.5" customHeight="1" x14ac:dyDescent="0.25">
      <c r="A673" s="308"/>
      <c r="B673" s="308"/>
      <c r="C673" s="171" t="str">
        <f>IFERROR(VLOOKUP(C672,Списки!$E:$F,2,0)," ")</f>
        <v xml:space="preserve"> </v>
      </c>
      <c r="D673" s="310"/>
      <c r="E673" s="171" t="str">
        <f>IFERROR(VLOOKUP(E672,Списки!$E:$F,2,0)," ")</f>
        <v xml:space="preserve"> </v>
      </c>
      <c r="F673" s="312"/>
      <c r="G673" s="314"/>
      <c r="H673" s="315"/>
      <c r="I673" s="8"/>
      <c r="J673" s="8"/>
      <c r="K673" s="8"/>
      <c r="L673" s="8"/>
      <c r="M673" s="8"/>
      <c r="N673" s="8"/>
      <c r="O673" s="8"/>
      <c r="P673" s="8"/>
      <c r="Q673" s="8"/>
      <c r="R673" s="8"/>
      <c r="S673" s="8"/>
      <c r="T673" s="82"/>
    </row>
    <row r="674" spans="1:20" ht="13.5" customHeight="1" x14ac:dyDescent="0.25">
      <c r="A674" s="307">
        <v>13</v>
      </c>
      <c r="B674" s="307"/>
      <c r="C674" s="170"/>
      <c r="D674" s="309"/>
      <c r="E674" s="170"/>
      <c r="F674" s="311"/>
      <c r="G674" s="313"/>
      <c r="H674" s="315"/>
      <c r="I674" s="8"/>
      <c r="J674" s="8"/>
      <c r="K674" s="8"/>
      <c r="L674" s="8"/>
      <c r="M674" s="8"/>
      <c r="N674" s="8"/>
      <c r="O674" s="8"/>
      <c r="P674" s="8"/>
      <c r="Q674" s="8"/>
      <c r="R674" s="8"/>
      <c r="S674" s="8"/>
      <c r="T674" s="82"/>
    </row>
    <row r="675" spans="1:20" ht="13.5" customHeight="1" x14ac:dyDescent="0.25">
      <c r="A675" s="308"/>
      <c r="B675" s="308"/>
      <c r="C675" s="171" t="str">
        <f>IFERROR(VLOOKUP(C674,Списки!$E:$F,2,0)," ")</f>
        <v xml:space="preserve"> </v>
      </c>
      <c r="D675" s="310"/>
      <c r="E675" s="171" t="str">
        <f>IFERROR(VLOOKUP(E674,Списки!$E:$F,2,0)," ")</f>
        <v xml:space="preserve"> </v>
      </c>
      <c r="F675" s="312"/>
      <c r="G675" s="314"/>
      <c r="H675" s="315"/>
      <c r="I675" s="8"/>
      <c r="J675" s="8"/>
      <c r="K675" s="8"/>
      <c r="L675" s="8"/>
      <c r="M675" s="8"/>
      <c r="N675" s="8"/>
      <c r="O675" s="8"/>
      <c r="P675" s="8"/>
      <c r="Q675" s="8"/>
      <c r="R675" s="8"/>
      <c r="S675" s="8"/>
      <c r="T675" s="82"/>
    </row>
    <row r="676" spans="1:20" ht="13.5" customHeight="1" x14ac:dyDescent="0.25">
      <c r="A676" s="307">
        <v>14</v>
      </c>
      <c r="B676" s="307"/>
      <c r="C676" s="170"/>
      <c r="D676" s="309"/>
      <c r="E676" s="170"/>
      <c r="F676" s="311"/>
      <c r="G676" s="313"/>
      <c r="H676" s="315"/>
      <c r="I676" s="8"/>
      <c r="J676" s="8"/>
      <c r="K676" s="8"/>
      <c r="L676" s="8"/>
      <c r="M676" s="8"/>
      <c r="N676" s="8"/>
      <c r="O676" s="8"/>
      <c r="P676" s="8"/>
      <c r="Q676" s="8"/>
      <c r="R676" s="8"/>
      <c r="S676" s="8"/>
      <c r="T676" s="82"/>
    </row>
    <row r="677" spans="1:20" ht="13.5" customHeight="1" x14ac:dyDescent="0.25">
      <c r="A677" s="308"/>
      <c r="B677" s="308"/>
      <c r="C677" s="171" t="str">
        <f>IFERROR(VLOOKUP(C676,Списки!$E:$F,2,0)," ")</f>
        <v xml:space="preserve"> </v>
      </c>
      <c r="D677" s="310"/>
      <c r="E677" s="171" t="str">
        <f>IFERROR(VLOOKUP(E676,Списки!$E:$F,2,0)," ")</f>
        <v xml:space="preserve"> </v>
      </c>
      <c r="F677" s="312"/>
      <c r="G677" s="314"/>
      <c r="H677" s="315"/>
      <c r="I677" s="8"/>
      <c r="J677" s="8"/>
      <c r="K677" s="8"/>
      <c r="L677" s="8"/>
      <c r="M677" s="8"/>
      <c r="N677" s="8"/>
      <c r="O677" s="8"/>
      <c r="P677" s="8"/>
      <c r="Q677" s="8"/>
      <c r="R677" s="8"/>
      <c r="S677" s="8"/>
      <c r="T677" s="82"/>
    </row>
    <row r="678" spans="1:20" ht="13.5" customHeight="1" x14ac:dyDescent="0.25">
      <c r="A678" s="307">
        <v>15</v>
      </c>
      <c r="B678" s="307"/>
      <c r="C678" s="170"/>
      <c r="D678" s="309"/>
      <c r="E678" s="170"/>
      <c r="F678" s="311"/>
      <c r="G678" s="313"/>
      <c r="H678" s="315"/>
      <c r="I678" s="8"/>
      <c r="J678" s="8"/>
      <c r="K678" s="8"/>
      <c r="L678" s="8"/>
      <c r="M678" s="8"/>
      <c r="N678" s="8"/>
      <c r="O678" s="8"/>
      <c r="P678" s="8"/>
      <c r="Q678" s="8"/>
      <c r="R678" s="8"/>
      <c r="S678" s="8"/>
      <c r="T678" s="82"/>
    </row>
    <row r="679" spans="1:20" ht="13.5" customHeight="1" x14ac:dyDescent="0.25">
      <c r="A679" s="308"/>
      <c r="B679" s="308"/>
      <c r="C679" s="171" t="str">
        <f>IFERROR(VLOOKUP(C678,Списки!$E:$F,2,0)," ")</f>
        <v xml:space="preserve"> </v>
      </c>
      <c r="D679" s="310"/>
      <c r="E679" s="171" t="str">
        <f>IFERROR(VLOOKUP(E678,Списки!$E:$F,2,0)," ")</f>
        <v xml:space="preserve"> </v>
      </c>
      <c r="F679" s="312"/>
      <c r="G679" s="314"/>
      <c r="H679" s="315"/>
      <c r="I679" s="8"/>
      <c r="J679" s="8"/>
      <c r="K679" s="8"/>
      <c r="L679" s="8"/>
      <c r="M679" s="8"/>
      <c r="N679" s="8"/>
      <c r="O679" s="8"/>
      <c r="P679" s="8"/>
      <c r="Q679" s="8"/>
      <c r="R679" s="8"/>
      <c r="S679" s="8"/>
      <c r="T679" s="82"/>
    </row>
    <row r="680" spans="1:20" x14ac:dyDescent="0.25">
      <c r="A680" s="36"/>
      <c r="B680" s="37"/>
      <c r="C680" s="173"/>
      <c r="D680" s="173"/>
      <c r="E680" s="174" t="s">
        <v>30</v>
      </c>
      <c r="F680" s="39">
        <f>IFERROR(SUM(IFERROR(IF((LOOKUP(9E+307,F650:F679))&gt;$M$39,(LOOKUP(9E+307,F650:F679))-$M$39,IF((LOOKUP(9E+307,F650:F679))&lt;0.166666667,0+(LOOKUP(9E+307,F650:F679))+1-$M$39,0)),0),(IF(AND(IF(D650,$M$38-D650,0)&gt;0,F650,F650&gt;D650),$M$38-D650,IF(AND(D650,F650,D650&gt;F650),"error",0)))),"ОШИБКА")</f>
        <v>0</v>
      </c>
      <c r="G680" s="40" t="s">
        <v>27</v>
      </c>
      <c r="H680" s="38">
        <f>SUM(H650:H679)</f>
        <v>0</v>
      </c>
      <c r="I680" s="8"/>
      <c r="J680" s="8"/>
      <c r="K680" s="8"/>
      <c r="L680" s="8"/>
      <c r="M680" s="8"/>
      <c r="N680" s="8"/>
      <c r="O680" s="8"/>
      <c r="P680" s="8"/>
      <c r="Q680" s="8"/>
      <c r="R680" s="8"/>
      <c r="S680" s="8"/>
      <c r="T680" s="82"/>
    </row>
    <row r="681" spans="1:20" ht="15.75" x14ac:dyDescent="0.25">
      <c r="A681" s="316">
        <f>DATE(K1,J1,21)</f>
        <v>43851</v>
      </c>
      <c r="B681" s="316"/>
      <c r="C681" s="316"/>
      <c r="D681" s="316"/>
      <c r="E681" s="316"/>
      <c r="F681" s="316"/>
      <c r="G681" s="316"/>
      <c r="H681" s="317"/>
      <c r="I681" s="8"/>
      <c r="J681" s="8"/>
      <c r="K681" s="8"/>
      <c r="L681" s="8"/>
      <c r="M681" s="8"/>
      <c r="N681" s="8"/>
      <c r="O681" s="8"/>
      <c r="P681" s="8"/>
      <c r="Q681" s="8"/>
      <c r="R681" s="8"/>
      <c r="S681" s="8"/>
      <c r="T681" s="82"/>
    </row>
    <row r="682" spans="1:20" ht="13.5" customHeight="1" x14ac:dyDescent="0.25">
      <c r="A682" s="318"/>
      <c r="B682" s="320" t="s">
        <v>34</v>
      </c>
      <c r="C682" s="175" t="s">
        <v>39</v>
      </c>
      <c r="D682" s="322" t="s">
        <v>36</v>
      </c>
      <c r="E682" s="175" t="s">
        <v>37</v>
      </c>
      <c r="F682" s="320" t="s">
        <v>36</v>
      </c>
      <c r="G682" s="324" t="s">
        <v>35</v>
      </c>
      <c r="H682" s="315" t="s">
        <v>40</v>
      </c>
      <c r="I682" s="8"/>
      <c r="J682" s="8"/>
      <c r="K682" s="8"/>
      <c r="L682" s="8"/>
      <c r="M682" s="8"/>
      <c r="N682" s="8"/>
      <c r="O682" s="8"/>
      <c r="P682" s="8"/>
      <c r="Q682" s="8"/>
      <c r="R682" s="8"/>
      <c r="S682" s="8"/>
      <c r="T682" s="82"/>
    </row>
    <row r="683" spans="1:20" ht="13.5" customHeight="1" x14ac:dyDescent="0.25">
      <c r="A683" s="319"/>
      <c r="B683" s="321"/>
      <c r="C683" s="169" t="s">
        <v>38</v>
      </c>
      <c r="D683" s="323"/>
      <c r="E683" s="169" t="s">
        <v>38</v>
      </c>
      <c r="F683" s="321"/>
      <c r="G683" s="325"/>
      <c r="H683" s="315"/>
      <c r="I683" s="8"/>
      <c r="J683" s="8"/>
      <c r="K683" s="8"/>
      <c r="L683" s="8"/>
      <c r="M683" s="8"/>
      <c r="N683" s="8"/>
      <c r="O683" s="8"/>
      <c r="P683" s="8"/>
      <c r="Q683" s="8"/>
      <c r="R683" s="8"/>
      <c r="S683" s="8"/>
      <c r="T683" s="82"/>
    </row>
    <row r="684" spans="1:20" ht="13.5" customHeight="1" x14ac:dyDescent="0.25">
      <c r="A684" s="307">
        <v>1</v>
      </c>
      <c r="B684" s="307"/>
      <c r="C684" s="170" t="s">
        <v>43</v>
      </c>
      <c r="D684" s="309"/>
      <c r="E684" s="170" t="s">
        <v>44</v>
      </c>
      <c r="F684" s="311"/>
      <c r="G684" s="313"/>
      <c r="H684" s="315"/>
      <c r="I684" s="8"/>
      <c r="J684" s="8"/>
      <c r="K684" s="8"/>
      <c r="L684" s="8"/>
      <c r="M684" s="8"/>
      <c r="N684" s="8"/>
      <c r="O684" s="8"/>
      <c r="P684" s="8"/>
      <c r="Q684" s="8"/>
      <c r="R684" s="8"/>
      <c r="S684" s="8"/>
      <c r="T684" s="82"/>
    </row>
    <row r="685" spans="1:20" ht="13.5" customHeight="1" x14ac:dyDescent="0.25">
      <c r="A685" s="308"/>
      <c r="B685" s="308"/>
      <c r="C685" s="171" t="str">
        <f>IFERROR(VLOOKUP(C684,Списки!$E:$F,2,0)," ")</f>
        <v>SAVUSHKINA ST 128</v>
      </c>
      <c r="D685" s="310"/>
      <c r="E685" s="171" t="str">
        <f>IFERROR(VLOOKUP(E684,Списки!$E:$F,2,0)," ")</f>
        <v>LEVASHOVSKOE HWY 20</v>
      </c>
      <c r="F685" s="312"/>
      <c r="G685" s="314"/>
      <c r="H685" s="315"/>
      <c r="I685" s="8"/>
      <c r="J685" s="8"/>
      <c r="K685" s="8"/>
      <c r="L685" s="8"/>
      <c r="M685" s="8"/>
      <c r="N685" s="8"/>
      <c r="O685" s="8"/>
      <c r="P685" s="8"/>
      <c r="Q685" s="8"/>
      <c r="R685" s="8"/>
      <c r="S685" s="8"/>
      <c r="T685" s="82"/>
    </row>
    <row r="686" spans="1:20" ht="13.5" customHeight="1" x14ac:dyDescent="0.25">
      <c r="A686" s="307">
        <v>2</v>
      </c>
      <c r="B686" s="307"/>
      <c r="C686" s="170" t="s">
        <v>44</v>
      </c>
      <c r="D686" s="309"/>
      <c r="E686" s="170"/>
      <c r="F686" s="311"/>
      <c r="G686" s="313"/>
      <c r="H686" s="315"/>
      <c r="I686" s="8"/>
      <c r="J686" s="8"/>
      <c r="K686" s="8"/>
      <c r="L686" s="8"/>
      <c r="M686" s="8"/>
      <c r="N686" s="8"/>
      <c r="O686" s="8"/>
      <c r="P686" s="8"/>
      <c r="Q686" s="8"/>
      <c r="R686" s="8"/>
      <c r="S686" s="8"/>
      <c r="T686" s="82"/>
    </row>
    <row r="687" spans="1:20" ht="13.5" customHeight="1" x14ac:dyDescent="0.25">
      <c r="A687" s="308"/>
      <c r="B687" s="308"/>
      <c r="C687" s="171" t="str">
        <f>IFERROR(VLOOKUP(C686,Списки!$E:$F,2,0)," ")</f>
        <v>LEVASHOVSKOE HWY 20</v>
      </c>
      <c r="D687" s="310"/>
      <c r="E687" s="171" t="str">
        <f>IFERROR(VLOOKUP(E686,Списки!$E:$F,2,0)," ")</f>
        <v xml:space="preserve"> </v>
      </c>
      <c r="F687" s="312"/>
      <c r="G687" s="314"/>
      <c r="H687" s="315"/>
      <c r="I687" s="8"/>
      <c r="J687" s="8"/>
      <c r="K687" s="8"/>
      <c r="L687" s="8"/>
      <c r="M687" s="8"/>
      <c r="N687" s="8"/>
      <c r="O687" s="8"/>
      <c r="P687" s="8"/>
      <c r="Q687" s="8"/>
      <c r="R687" s="8"/>
      <c r="S687" s="8"/>
      <c r="T687" s="82"/>
    </row>
    <row r="688" spans="1:20" ht="13.5" customHeight="1" x14ac:dyDescent="0.25">
      <c r="A688" s="307">
        <v>3</v>
      </c>
      <c r="B688" s="307"/>
      <c r="C688" s="170"/>
      <c r="D688" s="309"/>
      <c r="E688" s="170"/>
      <c r="F688" s="311"/>
      <c r="G688" s="313"/>
      <c r="H688" s="315"/>
      <c r="I688" s="8"/>
      <c r="J688" s="8"/>
      <c r="K688" s="8"/>
      <c r="L688" s="8"/>
      <c r="M688" s="8"/>
      <c r="N688" s="8"/>
      <c r="O688" s="8"/>
      <c r="P688" s="8"/>
      <c r="Q688" s="8"/>
      <c r="R688" s="8"/>
      <c r="S688" s="8"/>
      <c r="T688" s="82"/>
    </row>
    <row r="689" spans="1:20" ht="13.5" customHeight="1" x14ac:dyDescent="0.25">
      <c r="A689" s="308"/>
      <c r="B689" s="308"/>
      <c r="C689" s="171" t="str">
        <f>IFERROR(VLOOKUP(C688,Списки!$E:$F,2,0)," ")</f>
        <v xml:space="preserve"> </v>
      </c>
      <c r="D689" s="310"/>
      <c r="E689" s="171" t="str">
        <f>IFERROR(VLOOKUP(E688,Списки!$E:$F,2,0)," ")</f>
        <v xml:space="preserve"> </v>
      </c>
      <c r="F689" s="312"/>
      <c r="G689" s="314"/>
      <c r="H689" s="315"/>
      <c r="I689" s="8"/>
      <c r="J689" s="8"/>
      <c r="K689" s="8"/>
      <c r="L689" s="8"/>
      <c r="M689" s="8"/>
      <c r="N689" s="8"/>
      <c r="O689" s="8"/>
      <c r="P689" s="8"/>
      <c r="Q689" s="8"/>
      <c r="R689" s="8"/>
      <c r="S689" s="8"/>
      <c r="T689" s="82"/>
    </row>
    <row r="690" spans="1:20" ht="13.5" customHeight="1" x14ac:dyDescent="0.25">
      <c r="A690" s="307">
        <v>4</v>
      </c>
      <c r="B690" s="307"/>
      <c r="C690" s="170"/>
      <c r="D690" s="309"/>
      <c r="E690" s="170"/>
      <c r="F690" s="311"/>
      <c r="G690" s="313"/>
      <c r="H690" s="315"/>
      <c r="I690" s="8"/>
      <c r="J690" s="8"/>
      <c r="K690" s="8"/>
      <c r="L690" s="8"/>
      <c r="M690" s="8"/>
      <c r="N690" s="8"/>
      <c r="O690" s="8"/>
      <c r="P690" s="8"/>
      <c r="Q690" s="8"/>
      <c r="R690" s="8"/>
      <c r="S690" s="8"/>
      <c r="T690" s="82"/>
    </row>
    <row r="691" spans="1:20" ht="13.5" customHeight="1" x14ac:dyDescent="0.25">
      <c r="A691" s="308"/>
      <c r="B691" s="308"/>
      <c r="C691" s="171" t="str">
        <f>IFERROR(VLOOKUP(C690,Списки!$E:$F,2,0)," ")</f>
        <v xml:space="preserve"> </v>
      </c>
      <c r="D691" s="310"/>
      <c r="E691" s="171" t="str">
        <f>IFERROR(VLOOKUP(E690,Списки!$E:$F,2,0)," ")</f>
        <v xml:space="preserve"> </v>
      </c>
      <c r="F691" s="312"/>
      <c r="G691" s="314"/>
      <c r="H691" s="315"/>
      <c r="I691" s="8"/>
      <c r="J691" s="8"/>
      <c r="K691" s="8"/>
      <c r="L691" s="8"/>
      <c r="M691" s="8"/>
      <c r="N691" s="8"/>
      <c r="O691" s="8"/>
      <c r="P691" s="8"/>
      <c r="Q691" s="8"/>
      <c r="R691" s="8"/>
      <c r="S691" s="8"/>
      <c r="T691" s="82"/>
    </row>
    <row r="692" spans="1:20" ht="13.5" customHeight="1" x14ac:dyDescent="0.25">
      <c r="A692" s="307">
        <v>5</v>
      </c>
      <c r="B692" s="307"/>
      <c r="C692" s="170"/>
      <c r="D692" s="309"/>
      <c r="E692" s="172"/>
      <c r="F692" s="311"/>
      <c r="G692" s="313"/>
      <c r="H692" s="315"/>
      <c r="I692" s="8"/>
      <c r="J692" s="8"/>
      <c r="K692" s="8"/>
      <c r="L692" s="8"/>
      <c r="M692" s="8"/>
      <c r="N692" s="8"/>
      <c r="O692" s="8"/>
      <c r="P692" s="8"/>
      <c r="Q692" s="8"/>
      <c r="R692" s="8"/>
      <c r="S692" s="8"/>
      <c r="T692" s="82"/>
    </row>
    <row r="693" spans="1:20" ht="13.5" customHeight="1" x14ac:dyDescent="0.25">
      <c r="A693" s="308"/>
      <c r="B693" s="308"/>
      <c r="C693" s="171" t="str">
        <f>IFERROR(VLOOKUP(C692,Списки!$E:$F,2,0)," ")</f>
        <v xml:space="preserve"> </v>
      </c>
      <c r="D693" s="310"/>
      <c r="E693" s="172" t="str">
        <f>IFERROR(VLOOKUP(E692,Списки!$E:$F,2,0)," ")</f>
        <v xml:space="preserve"> </v>
      </c>
      <c r="F693" s="312"/>
      <c r="G693" s="314"/>
      <c r="H693" s="315"/>
      <c r="I693" s="8"/>
      <c r="J693" s="8"/>
      <c r="K693" s="8"/>
      <c r="L693" s="8"/>
      <c r="M693" s="8"/>
      <c r="N693" s="8"/>
      <c r="O693" s="8"/>
      <c r="P693" s="8"/>
      <c r="Q693" s="8"/>
      <c r="R693" s="8"/>
      <c r="S693" s="8"/>
      <c r="T693" s="82"/>
    </row>
    <row r="694" spans="1:20" ht="13.5" customHeight="1" x14ac:dyDescent="0.25">
      <c r="A694" s="307">
        <v>6</v>
      </c>
      <c r="B694" s="307"/>
      <c r="C694" s="170"/>
      <c r="D694" s="309"/>
      <c r="E694" s="170"/>
      <c r="F694" s="311"/>
      <c r="G694" s="313"/>
      <c r="H694" s="315"/>
      <c r="I694" s="8"/>
      <c r="J694" s="8"/>
      <c r="K694" s="8"/>
      <c r="L694" s="8"/>
      <c r="M694" s="8"/>
      <c r="N694" s="8"/>
      <c r="O694" s="8"/>
      <c r="P694" s="8"/>
      <c r="Q694" s="8"/>
      <c r="R694" s="8"/>
      <c r="S694" s="8"/>
      <c r="T694" s="82"/>
    </row>
    <row r="695" spans="1:20" ht="13.5" customHeight="1" x14ac:dyDescent="0.25">
      <c r="A695" s="308"/>
      <c r="B695" s="308"/>
      <c r="C695" s="171" t="str">
        <f>IFERROR(VLOOKUP(C694,Списки!$E:$F,2,0)," ")</f>
        <v xml:space="preserve"> </v>
      </c>
      <c r="D695" s="310"/>
      <c r="E695" s="179" t="str">
        <f>IFERROR(VLOOKUP(E694,Списки!$E:$F,2,0)," ")</f>
        <v xml:space="preserve"> </v>
      </c>
      <c r="F695" s="312"/>
      <c r="G695" s="314"/>
      <c r="H695" s="315"/>
      <c r="I695" s="8"/>
      <c r="J695" s="8"/>
      <c r="K695" s="8"/>
      <c r="L695" s="8"/>
      <c r="M695" s="8"/>
      <c r="N695" s="8"/>
      <c r="O695" s="8"/>
      <c r="P695" s="8"/>
      <c r="Q695" s="8"/>
      <c r="R695" s="8"/>
      <c r="S695" s="8"/>
      <c r="T695" s="82"/>
    </row>
    <row r="696" spans="1:20" ht="13.5" customHeight="1" x14ac:dyDescent="0.25">
      <c r="A696" s="307">
        <v>7</v>
      </c>
      <c r="B696" s="307"/>
      <c r="C696" s="170"/>
      <c r="D696" s="309"/>
      <c r="E696" s="170"/>
      <c r="F696" s="311"/>
      <c r="G696" s="313"/>
      <c r="H696" s="315"/>
      <c r="I696" s="8"/>
      <c r="J696" s="8"/>
      <c r="K696" s="8"/>
      <c r="L696" s="8"/>
      <c r="M696" s="8"/>
      <c r="N696" s="8"/>
      <c r="O696" s="8"/>
      <c r="P696" s="8"/>
      <c r="Q696" s="8"/>
      <c r="R696" s="8"/>
      <c r="S696" s="8"/>
      <c r="T696" s="82"/>
    </row>
    <row r="697" spans="1:20" ht="13.5" customHeight="1" x14ac:dyDescent="0.25">
      <c r="A697" s="308"/>
      <c r="B697" s="308"/>
      <c r="C697" s="179" t="str">
        <f>IFERROR(VLOOKUP(C696,Списки!$E:$F,2,0)," ")</f>
        <v xml:space="preserve"> </v>
      </c>
      <c r="D697" s="310"/>
      <c r="E697" s="171" t="str">
        <f>IFERROR(VLOOKUP(E696,Списки!$E:$F,2,0)," ")</f>
        <v xml:space="preserve"> </v>
      </c>
      <c r="F697" s="312"/>
      <c r="G697" s="314"/>
      <c r="H697" s="315"/>
      <c r="I697" s="8"/>
      <c r="J697" s="8"/>
      <c r="K697" s="8"/>
      <c r="L697" s="8"/>
      <c r="M697" s="8"/>
      <c r="N697" s="8"/>
      <c r="O697" s="8"/>
      <c r="P697" s="8"/>
      <c r="Q697" s="8"/>
      <c r="R697" s="8"/>
      <c r="S697" s="8"/>
      <c r="T697" s="82"/>
    </row>
    <row r="698" spans="1:20" ht="13.5" customHeight="1" x14ac:dyDescent="0.25">
      <c r="A698" s="307">
        <v>8</v>
      </c>
      <c r="B698" s="307"/>
      <c r="C698" s="170"/>
      <c r="D698" s="309"/>
      <c r="E698" s="170"/>
      <c r="F698" s="311"/>
      <c r="G698" s="313"/>
      <c r="H698" s="315"/>
      <c r="I698" s="8"/>
      <c r="J698" s="8"/>
      <c r="K698" s="8"/>
      <c r="L698" s="8"/>
      <c r="M698" s="8"/>
      <c r="N698" s="8"/>
      <c r="O698" s="8"/>
      <c r="P698" s="8"/>
      <c r="Q698" s="8"/>
      <c r="R698" s="8"/>
      <c r="S698" s="8"/>
      <c r="T698" s="82"/>
    </row>
    <row r="699" spans="1:20" ht="13.5" customHeight="1" x14ac:dyDescent="0.25">
      <c r="A699" s="308"/>
      <c r="B699" s="308"/>
      <c r="C699" s="179" t="str">
        <f>IFERROR(VLOOKUP(C698,Списки!$E:$F,2,0)," ")</f>
        <v xml:space="preserve"> </v>
      </c>
      <c r="D699" s="310"/>
      <c r="E699" s="171" t="str">
        <f>IFERROR(VLOOKUP(E698,Списки!$E:$F,2,0)," ")</f>
        <v xml:space="preserve"> </v>
      </c>
      <c r="F699" s="312"/>
      <c r="G699" s="314"/>
      <c r="H699" s="315"/>
      <c r="I699" s="8"/>
      <c r="J699" s="8"/>
      <c r="K699" s="8"/>
      <c r="L699" s="8"/>
      <c r="M699" s="8"/>
      <c r="N699" s="8"/>
      <c r="O699" s="8"/>
      <c r="P699" s="8"/>
      <c r="Q699" s="8"/>
      <c r="R699" s="8"/>
      <c r="S699" s="8"/>
      <c r="T699" s="82"/>
    </row>
    <row r="700" spans="1:20" ht="13.5" customHeight="1" x14ac:dyDescent="0.25">
      <c r="A700" s="307">
        <v>9</v>
      </c>
      <c r="B700" s="307"/>
      <c r="C700" s="170"/>
      <c r="D700" s="309"/>
      <c r="E700" s="170"/>
      <c r="F700" s="311"/>
      <c r="G700" s="313"/>
      <c r="H700" s="315"/>
      <c r="I700" s="8"/>
      <c r="J700" s="8"/>
      <c r="K700" s="8"/>
      <c r="L700" s="8"/>
      <c r="M700" s="8"/>
      <c r="N700" s="8"/>
      <c r="O700" s="8"/>
      <c r="P700" s="8"/>
      <c r="Q700" s="8"/>
      <c r="R700" s="8"/>
      <c r="S700" s="8"/>
      <c r="T700" s="82"/>
    </row>
    <row r="701" spans="1:20" ht="13.5" customHeight="1" x14ac:dyDescent="0.25">
      <c r="A701" s="308"/>
      <c r="B701" s="308"/>
      <c r="C701" s="171" t="str">
        <f>IFERROR(VLOOKUP(C700,Списки!$E:$F,2,0)," ")</f>
        <v xml:space="preserve"> </v>
      </c>
      <c r="D701" s="310"/>
      <c r="E701" s="171" t="str">
        <f>IFERROR(VLOOKUP(E700,Списки!$E:$F,2,0)," ")</f>
        <v xml:space="preserve"> </v>
      </c>
      <c r="F701" s="312"/>
      <c r="G701" s="314"/>
      <c r="H701" s="315"/>
      <c r="I701" s="8"/>
      <c r="J701" s="8"/>
      <c r="K701" s="8"/>
      <c r="L701" s="8"/>
      <c r="M701" s="8"/>
      <c r="N701" s="8"/>
      <c r="O701" s="8"/>
      <c r="P701" s="8"/>
      <c r="Q701" s="8"/>
      <c r="R701" s="8"/>
      <c r="S701" s="8"/>
      <c r="T701" s="82"/>
    </row>
    <row r="702" spans="1:20" ht="13.5" customHeight="1" x14ac:dyDescent="0.25">
      <c r="A702" s="307">
        <v>10</v>
      </c>
      <c r="B702" s="307"/>
      <c r="C702" s="170"/>
      <c r="D702" s="309"/>
      <c r="E702" s="170"/>
      <c r="F702" s="311"/>
      <c r="G702" s="313"/>
      <c r="H702" s="315"/>
      <c r="I702" s="8"/>
      <c r="J702" s="8"/>
      <c r="K702" s="8"/>
      <c r="L702" s="8"/>
      <c r="M702" s="8"/>
      <c r="N702" s="8"/>
      <c r="O702" s="8"/>
      <c r="P702" s="8"/>
      <c r="Q702" s="8"/>
      <c r="R702" s="8"/>
      <c r="S702" s="8"/>
      <c r="T702" s="82"/>
    </row>
    <row r="703" spans="1:20" ht="13.5" customHeight="1" x14ac:dyDescent="0.25">
      <c r="A703" s="308"/>
      <c r="B703" s="308"/>
      <c r="C703" s="171" t="str">
        <f>IFERROR(VLOOKUP(C702,Списки!$E:$F,2,0)," ")</f>
        <v xml:space="preserve"> </v>
      </c>
      <c r="D703" s="310"/>
      <c r="E703" s="171" t="str">
        <f>IFERROR(VLOOKUP(E702,Списки!$E:$F,2,0)," ")</f>
        <v xml:space="preserve"> </v>
      </c>
      <c r="F703" s="312"/>
      <c r="G703" s="314"/>
      <c r="H703" s="315"/>
      <c r="I703" s="8"/>
      <c r="J703" s="8"/>
      <c r="K703" s="8"/>
      <c r="L703" s="8"/>
      <c r="M703" s="8"/>
      <c r="N703" s="8"/>
      <c r="O703" s="8"/>
      <c r="P703" s="8"/>
      <c r="Q703" s="8"/>
      <c r="R703" s="8"/>
      <c r="S703" s="8"/>
      <c r="T703" s="82"/>
    </row>
    <row r="704" spans="1:20" ht="13.5" customHeight="1" x14ac:dyDescent="0.25">
      <c r="A704" s="307">
        <v>11</v>
      </c>
      <c r="B704" s="307"/>
      <c r="C704" s="170"/>
      <c r="D704" s="309"/>
      <c r="E704" s="170"/>
      <c r="F704" s="311"/>
      <c r="G704" s="313"/>
      <c r="H704" s="315"/>
      <c r="I704" s="8"/>
      <c r="J704" s="8"/>
      <c r="K704" s="8"/>
      <c r="L704" s="8"/>
      <c r="M704" s="8"/>
      <c r="N704" s="8"/>
      <c r="O704" s="8"/>
      <c r="P704" s="8"/>
      <c r="Q704" s="8"/>
      <c r="R704" s="8"/>
      <c r="S704" s="8"/>
      <c r="T704" s="82"/>
    </row>
    <row r="705" spans="1:20" ht="13.5" customHeight="1" x14ac:dyDescent="0.25">
      <c r="A705" s="308"/>
      <c r="B705" s="308"/>
      <c r="C705" s="171" t="str">
        <f>IFERROR(VLOOKUP(C704,Списки!$E:$F,2,0)," ")</f>
        <v xml:space="preserve"> </v>
      </c>
      <c r="D705" s="310"/>
      <c r="E705" s="171" t="str">
        <f>IFERROR(VLOOKUP(E704,Списки!$E:$F,2,0)," ")</f>
        <v xml:space="preserve"> </v>
      </c>
      <c r="F705" s="312"/>
      <c r="G705" s="314"/>
      <c r="H705" s="315"/>
      <c r="I705" s="8"/>
      <c r="J705" s="8"/>
      <c r="K705" s="8"/>
      <c r="L705" s="8"/>
      <c r="M705" s="8"/>
      <c r="N705" s="8"/>
      <c r="O705" s="8"/>
      <c r="P705" s="8"/>
      <c r="Q705" s="8"/>
      <c r="R705" s="8"/>
      <c r="S705" s="8"/>
      <c r="T705" s="82"/>
    </row>
    <row r="706" spans="1:20" ht="13.5" customHeight="1" x14ac:dyDescent="0.25">
      <c r="A706" s="307">
        <v>12</v>
      </c>
      <c r="B706" s="307"/>
      <c r="C706" s="170"/>
      <c r="D706" s="309"/>
      <c r="E706" s="170"/>
      <c r="F706" s="311"/>
      <c r="G706" s="313"/>
      <c r="H706" s="315"/>
      <c r="I706" s="8"/>
      <c r="J706" s="8"/>
      <c r="K706" s="8"/>
      <c r="L706" s="8"/>
      <c r="M706" s="8"/>
      <c r="N706" s="8"/>
      <c r="O706" s="8"/>
      <c r="P706" s="8"/>
      <c r="Q706" s="8"/>
      <c r="R706" s="8"/>
      <c r="S706" s="8"/>
      <c r="T706" s="82"/>
    </row>
    <row r="707" spans="1:20" ht="13.5" customHeight="1" x14ac:dyDescent="0.25">
      <c r="A707" s="308"/>
      <c r="B707" s="308"/>
      <c r="C707" s="171" t="str">
        <f>IFERROR(VLOOKUP(C706,Списки!$E:$F,2,0)," ")</f>
        <v xml:space="preserve"> </v>
      </c>
      <c r="D707" s="310"/>
      <c r="E707" s="171" t="str">
        <f>IFERROR(VLOOKUP(E706,Списки!$E:$F,2,0)," ")</f>
        <v xml:space="preserve"> </v>
      </c>
      <c r="F707" s="312"/>
      <c r="G707" s="314"/>
      <c r="H707" s="315"/>
      <c r="I707" s="8"/>
      <c r="J707" s="8"/>
      <c r="K707" s="8"/>
      <c r="L707" s="8"/>
      <c r="M707" s="8"/>
      <c r="N707" s="8"/>
      <c r="O707" s="8"/>
      <c r="P707" s="8"/>
      <c r="Q707" s="8"/>
      <c r="R707" s="8"/>
      <c r="S707" s="8"/>
      <c r="T707" s="82"/>
    </row>
    <row r="708" spans="1:20" ht="13.5" customHeight="1" x14ac:dyDescent="0.25">
      <c r="A708" s="307">
        <v>13</v>
      </c>
      <c r="B708" s="307"/>
      <c r="C708" s="170"/>
      <c r="D708" s="309"/>
      <c r="E708" s="170"/>
      <c r="F708" s="311"/>
      <c r="G708" s="313"/>
      <c r="H708" s="315"/>
      <c r="I708" s="8"/>
      <c r="J708" s="8"/>
      <c r="K708" s="8"/>
      <c r="L708" s="8"/>
      <c r="M708" s="8"/>
      <c r="N708" s="8"/>
      <c r="O708" s="8"/>
      <c r="P708" s="8"/>
      <c r="Q708" s="8"/>
      <c r="R708" s="8"/>
      <c r="S708" s="8"/>
      <c r="T708" s="82"/>
    </row>
    <row r="709" spans="1:20" ht="13.5" customHeight="1" x14ac:dyDescent="0.25">
      <c r="A709" s="308"/>
      <c r="B709" s="308"/>
      <c r="C709" s="171" t="str">
        <f>IFERROR(VLOOKUP(C708,Списки!$E:$F,2,0)," ")</f>
        <v xml:space="preserve"> </v>
      </c>
      <c r="D709" s="310"/>
      <c r="E709" s="171" t="str">
        <f>IFERROR(VLOOKUP(E708,Списки!$E:$F,2,0)," ")</f>
        <v xml:space="preserve"> </v>
      </c>
      <c r="F709" s="312"/>
      <c r="G709" s="314"/>
      <c r="H709" s="315"/>
      <c r="I709" s="8"/>
      <c r="J709" s="8"/>
      <c r="K709" s="8"/>
      <c r="L709" s="8"/>
      <c r="M709" s="8"/>
      <c r="N709" s="8"/>
      <c r="O709" s="8"/>
      <c r="P709" s="8"/>
      <c r="Q709" s="8"/>
      <c r="R709" s="8"/>
      <c r="S709" s="8"/>
      <c r="T709" s="82"/>
    </row>
    <row r="710" spans="1:20" ht="13.5" customHeight="1" x14ac:dyDescent="0.25">
      <c r="A710" s="307">
        <v>14</v>
      </c>
      <c r="B710" s="307"/>
      <c r="C710" s="170"/>
      <c r="D710" s="309"/>
      <c r="E710" s="170"/>
      <c r="F710" s="311"/>
      <c r="G710" s="313"/>
      <c r="H710" s="315"/>
      <c r="I710" s="8"/>
      <c r="J710" s="8"/>
      <c r="K710" s="8"/>
      <c r="L710" s="8"/>
      <c r="M710" s="8"/>
      <c r="N710" s="8"/>
      <c r="O710" s="8"/>
      <c r="P710" s="8"/>
      <c r="Q710" s="8"/>
      <c r="R710" s="8"/>
      <c r="S710" s="8"/>
      <c r="T710" s="82"/>
    </row>
    <row r="711" spans="1:20" ht="13.5" customHeight="1" x14ac:dyDescent="0.25">
      <c r="A711" s="308"/>
      <c r="B711" s="308"/>
      <c r="C711" s="171" t="str">
        <f>IFERROR(VLOOKUP(C710,Списки!$E:$F,2,0)," ")</f>
        <v xml:space="preserve"> </v>
      </c>
      <c r="D711" s="310"/>
      <c r="E711" s="171" t="str">
        <f>IFERROR(VLOOKUP(E710,Списки!$E:$F,2,0)," ")</f>
        <v xml:space="preserve"> </v>
      </c>
      <c r="F711" s="312"/>
      <c r="G711" s="314"/>
      <c r="H711" s="315"/>
      <c r="I711" s="8"/>
      <c r="J711" s="8"/>
      <c r="K711" s="8"/>
      <c r="L711" s="8"/>
      <c r="M711" s="8"/>
      <c r="N711" s="8"/>
      <c r="O711" s="8"/>
      <c r="P711" s="8"/>
      <c r="Q711" s="8"/>
      <c r="R711" s="8"/>
      <c r="S711" s="8"/>
      <c r="T711" s="82"/>
    </row>
    <row r="712" spans="1:20" ht="13.5" customHeight="1" x14ac:dyDescent="0.25">
      <c r="A712" s="307">
        <v>15</v>
      </c>
      <c r="B712" s="307"/>
      <c r="C712" s="170"/>
      <c r="D712" s="309"/>
      <c r="E712" s="170"/>
      <c r="F712" s="311"/>
      <c r="G712" s="313"/>
      <c r="H712" s="315"/>
      <c r="I712" s="8"/>
      <c r="J712" s="8"/>
      <c r="K712" s="8"/>
      <c r="L712" s="8"/>
      <c r="M712" s="8"/>
      <c r="N712" s="8"/>
      <c r="O712" s="8"/>
      <c r="P712" s="8"/>
      <c r="Q712" s="8"/>
      <c r="R712" s="8"/>
      <c r="S712" s="8"/>
      <c r="T712" s="82"/>
    </row>
    <row r="713" spans="1:20" ht="13.5" customHeight="1" x14ac:dyDescent="0.25">
      <c r="A713" s="308"/>
      <c r="B713" s="308"/>
      <c r="C713" s="171" t="str">
        <f>IFERROR(VLOOKUP(C712,Списки!$E:$F,2,0)," ")</f>
        <v xml:space="preserve"> </v>
      </c>
      <c r="D713" s="310"/>
      <c r="E713" s="171" t="str">
        <f>IFERROR(VLOOKUP(E712,Списки!$E:$F,2,0)," ")</f>
        <v xml:space="preserve"> </v>
      </c>
      <c r="F713" s="312"/>
      <c r="G713" s="314"/>
      <c r="H713" s="315"/>
      <c r="I713" s="8"/>
      <c r="J713" s="8"/>
      <c r="K713" s="8"/>
      <c r="L713" s="8"/>
      <c r="M713" s="8"/>
      <c r="N713" s="8"/>
      <c r="O713" s="8"/>
      <c r="P713" s="8"/>
      <c r="Q713" s="8"/>
      <c r="R713" s="8"/>
      <c r="S713" s="8"/>
      <c r="T713" s="82"/>
    </row>
    <row r="714" spans="1:20" x14ac:dyDescent="0.25">
      <c r="A714" s="36"/>
      <c r="B714" s="37"/>
      <c r="C714" s="173"/>
      <c r="D714" s="173"/>
      <c r="E714" s="174" t="s">
        <v>30</v>
      </c>
      <c r="F714" s="39">
        <f>IFERROR(SUM(IFERROR(IF((LOOKUP(9E+307,F684:F713))&gt;$M$39,(LOOKUP(9E+307,F684:F713))-$M$39,IF((LOOKUP(9E+307,F684:F713))&lt;0.166666667,0+(LOOKUP(9E+307,F684:F713))+1-$M$39,0)),0),(IF(AND(IF(D684,$M$38-D684,0)&gt;0,F684,F684&gt;D684),$M$38-D684,IF(AND(D684,F684,D684&gt;F684),"error",0)))),"ОШИБКА")</f>
        <v>0</v>
      </c>
      <c r="G714" s="40" t="s">
        <v>27</v>
      </c>
      <c r="H714" s="38">
        <f>SUM(H684:H713)</f>
        <v>0</v>
      </c>
      <c r="I714" s="8"/>
      <c r="J714" s="8"/>
      <c r="K714" s="8"/>
      <c r="L714" s="8"/>
      <c r="M714" s="8"/>
      <c r="N714" s="8"/>
      <c r="O714" s="8"/>
      <c r="P714" s="8"/>
      <c r="Q714" s="8"/>
      <c r="R714" s="8"/>
      <c r="S714" s="8"/>
      <c r="T714" s="82"/>
    </row>
    <row r="715" spans="1:20" ht="15.75" x14ac:dyDescent="0.25">
      <c r="A715" s="316">
        <f>DATE(K1,J1,22)</f>
        <v>43852</v>
      </c>
      <c r="B715" s="316"/>
      <c r="C715" s="316"/>
      <c r="D715" s="316"/>
      <c r="E715" s="316"/>
      <c r="F715" s="316"/>
      <c r="G715" s="316"/>
      <c r="H715" s="317"/>
      <c r="I715" s="8"/>
      <c r="J715" s="8"/>
      <c r="K715" s="8"/>
      <c r="L715" s="8"/>
      <c r="M715" s="8"/>
      <c r="N715" s="8"/>
      <c r="O715" s="8"/>
      <c r="P715" s="8"/>
      <c r="Q715" s="8"/>
      <c r="R715" s="8"/>
      <c r="S715" s="8"/>
      <c r="T715" s="82"/>
    </row>
    <row r="716" spans="1:20" ht="13.5" customHeight="1" x14ac:dyDescent="0.25">
      <c r="A716" s="318"/>
      <c r="B716" s="320" t="s">
        <v>34</v>
      </c>
      <c r="C716" s="175" t="s">
        <v>39</v>
      </c>
      <c r="D716" s="322" t="s">
        <v>36</v>
      </c>
      <c r="E716" s="175" t="s">
        <v>37</v>
      </c>
      <c r="F716" s="320" t="s">
        <v>36</v>
      </c>
      <c r="G716" s="324" t="s">
        <v>35</v>
      </c>
      <c r="H716" s="315" t="s">
        <v>40</v>
      </c>
      <c r="I716" s="8"/>
      <c r="J716" s="8"/>
      <c r="K716" s="8"/>
      <c r="L716" s="8"/>
      <c r="M716" s="8"/>
      <c r="N716" s="8"/>
      <c r="O716" s="8"/>
      <c r="P716" s="8"/>
      <c r="Q716" s="8"/>
      <c r="R716" s="8"/>
      <c r="S716" s="8"/>
      <c r="T716" s="82"/>
    </row>
    <row r="717" spans="1:20" ht="13.5" customHeight="1" x14ac:dyDescent="0.25">
      <c r="A717" s="319"/>
      <c r="B717" s="321"/>
      <c r="C717" s="169" t="s">
        <v>38</v>
      </c>
      <c r="D717" s="323"/>
      <c r="E717" s="169" t="s">
        <v>38</v>
      </c>
      <c r="F717" s="321"/>
      <c r="G717" s="325"/>
      <c r="H717" s="315"/>
      <c r="I717" s="8"/>
      <c r="J717" s="8"/>
      <c r="K717" s="8"/>
      <c r="L717" s="8"/>
      <c r="M717" s="8"/>
      <c r="N717" s="8"/>
      <c r="O717" s="8"/>
      <c r="P717" s="8"/>
      <c r="Q717" s="8"/>
      <c r="R717" s="8"/>
      <c r="S717" s="8"/>
      <c r="T717" s="82"/>
    </row>
    <row r="718" spans="1:20" ht="13.5" customHeight="1" x14ac:dyDescent="0.25">
      <c r="A718" s="307">
        <v>1</v>
      </c>
      <c r="B718" s="307"/>
      <c r="C718" s="170" t="s">
        <v>43</v>
      </c>
      <c r="D718" s="309"/>
      <c r="E718" s="170" t="s">
        <v>44</v>
      </c>
      <c r="F718" s="311"/>
      <c r="G718" s="313"/>
      <c r="H718" s="315"/>
      <c r="I718" s="8"/>
      <c r="J718" s="8"/>
      <c r="K718" s="8"/>
      <c r="L718" s="8"/>
      <c r="M718" s="8"/>
      <c r="N718" s="8"/>
      <c r="O718" s="8"/>
      <c r="P718" s="8"/>
      <c r="Q718" s="8"/>
      <c r="R718" s="8"/>
      <c r="S718" s="8"/>
      <c r="T718" s="82"/>
    </row>
    <row r="719" spans="1:20" ht="13.5" customHeight="1" x14ac:dyDescent="0.25">
      <c r="A719" s="308"/>
      <c r="B719" s="308"/>
      <c r="C719" s="171" t="str">
        <f>IFERROR(VLOOKUP(C718,Списки!$E:$F,2,0)," ")</f>
        <v>SAVUSHKINA ST 128</v>
      </c>
      <c r="D719" s="310"/>
      <c r="E719" s="171" t="str">
        <f>IFERROR(VLOOKUP(E718,Списки!$E:$F,2,0)," ")</f>
        <v>LEVASHOVSKOE HWY 20</v>
      </c>
      <c r="F719" s="312"/>
      <c r="G719" s="314"/>
      <c r="H719" s="315"/>
      <c r="I719" s="8"/>
      <c r="J719" s="8"/>
      <c r="K719" s="8"/>
      <c r="L719" s="8"/>
      <c r="M719" s="8"/>
      <c r="N719" s="8"/>
      <c r="O719" s="8"/>
      <c r="P719" s="8"/>
      <c r="Q719" s="8"/>
      <c r="R719" s="8"/>
      <c r="S719" s="8"/>
      <c r="T719" s="82"/>
    </row>
    <row r="720" spans="1:20" ht="13.5" customHeight="1" x14ac:dyDescent="0.25">
      <c r="A720" s="307">
        <v>2</v>
      </c>
      <c r="B720" s="307"/>
      <c r="C720" s="170" t="s">
        <v>44</v>
      </c>
      <c r="D720" s="309"/>
      <c r="E720" s="170"/>
      <c r="F720" s="311"/>
      <c r="G720" s="313"/>
      <c r="H720" s="315"/>
      <c r="I720" s="8"/>
      <c r="J720" s="8"/>
      <c r="K720" s="8"/>
      <c r="L720" s="8"/>
      <c r="M720" s="8"/>
      <c r="N720" s="8"/>
      <c r="O720" s="8"/>
      <c r="P720" s="8"/>
      <c r="Q720" s="8"/>
      <c r="R720" s="8"/>
      <c r="S720" s="8"/>
      <c r="T720" s="82"/>
    </row>
    <row r="721" spans="1:20" ht="13.5" customHeight="1" x14ac:dyDescent="0.25">
      <c r="A721" s="308"/>
      <c r="B721" s="308"/>
      <c r="C721" s="171" t="str">
        <f>IFERROR(VLOOKUP(C720,Списки!$E:$F,2,0)," ")</f>
        <v>LEVASHOVSKOE HWY 20</v>
      </c>
      <c r="D721" s="310"/>
      <c r="E721" s="171" t="str">
        <f>IFERROR(VLOOKUP(E720,Списки!$E:$F,2,0)," ")</f>
        <v xml:space="preserve"> </v>
      </c>
      <c r="F721" s="312"/>
      <c r="G721" s="314"/>
      <c r="H721" s="315"/>
      <c r="I721" s="8"/>
      <c r="J721" s="8"/>
      <c r="K721" s="8"/>
      <c r="L721" s="8"/>
      <c r="M721" s="8"/>
      <c r="N721" s="8"/>
      <c r="O721" s="8"/>
      <c r="P721" s="8"/>
      <c r="Q721" s="8"/>
      <c r="R721" s="8"/>
      <c r="S721" s="8"/>
      <c r="T721" s="82"/>
    </row>
    <row r="722" spans="1:20" ht="13.5" customHeight="1" x14ac:dyDescent="0.25">
      <c r="A722" s="307">
        <v>3</v>
      </c>
      <c r="B722" s="307"/>
      <c r="C722" s="170"/>
      <c r="D722" s="309"/>
      <c r="E722" s="170"/>
      <c r="F722" s="311"/>
      <c r="G722" s="313"/>
      <c r="H722" s="315"/>
      <c r="I722" s="8"/>
      <c r="J722" s="8"/>
      <c r="K722" s="8"/>
      <c r="L722" s="8"/>
      <c r="M722" s="8"/>
      <c r="N722" s="8"/>
      <c r="O722" s="8"/>
      <c r="P722" s="8"/>
      <c r="Q722" s="8"/>
      <c r="R722" s="8"/>
      <c r="S722" s="8"/>
      <c r="T722" s="82"/>
    </row>
    <row r="723" spans="1:20" ht="13.5" customHeight="1" x14ac:dyDescent="0.25">
      <c r="A723" s="308"/>
      <c r="B723" s="308"/>
      <c r="C723" s="171" t="str">
        <f>IFERROR(VLOOKUP(C722,Списки!$E:$F,2,0)," ")</f>
        <v xml:space="preserve"> </v>
      </c>
      <c r="D723" s="310"/>
      <c r="E723" s="171" t="str">
        <f>IFERROR(VLOOKUP(E722,Списки!$E:$F,2,0)," ")</f>
        <v xml:space="preserve"> </v>
      </c>
      <c r="F723" s="312"/>
      <c r="G723" s="314"/>
      <c r="H723" s="315"/>
      <c r="I723" s="8"/>
      <c r="J723" s="8"/>
      <c r="K723" s="8"/>
      <c r="L723" s="8"/>
      <c r="M723" s="8"/>
      <c r="N723" s="8"/>
      <c r="O723" s="8"/>
      <c r="P723" s="8"/>
      <c r="Q723" s="8"/>
      <c r="R723" s="8"/>
      <c r="S723" s="8"/>
      <c r="T723" s="82"/>
    </row>
    <row r="724" spans="1:20" ht="13.5" customHeight="1" x14ac:dyDescent="0.25">
      <c r="A724" s="307">
        <v>4</v>
      </c>
      <c r="B724" s="307"/>
      <c r="C724" s="170"/>
      <c r="D724" s="309"/>
      <c r="E724" s="170"/>
      <c r="F724" s="311"/>
      <c r="G724" s="313"/>
      <c r="H724" s="315"/>
      <c r="I724" s="8"/>
      <c r="J724" s="8"/>
      <c r="K724" s="8"/>
      <c r="L724" s="8"/>
      <c r="M724" s="8"/>
      <c r="N724" s="8"/>
      <c r="O724" s="8"/>
      <c r="P724" s="8"/>
      <c r="Q724" s="8"/>
      <c r="R724" s="8"/>
      <c r="S724" s="8"/>
      <c r="T724" s="82"/>
    </row>
    <row r="725" spans="1:20" ht="13.5" customHeight="1" x14ac:dyDescent="0.25">
      <c r="A725" s="308"/>
      <c r="B725" s="308"/>
      <c r="C725" s="171" t="str">
        <f>IFERROR(VLOOKUP(C724,Списки!$E:$F,2,0)," ")</f>
        <v xml:space="preserve"> </v>
      </c>
      <c r="D725" s="310"/>
      <c r="E725" s="171" t="str">
        <f>IFERROR(VLOOKUP(E724,Списки!$E:$F,2,0)," ")</f>
        <v xml:space="preserve"> </v>
      </c>
      <c r="F725" s="312"/>
      <c r="G725" s="314"/>
      <c r="H725" s="315"/>
      <c r="I725" s="8"/>
      <c r="J725" s="8"/>
      <c r="K725" s="8"/>
      <c r="L725" s="8"/>
      <c r="M725" s="8"/>
      <c r="N725" s="8"/>
      <c r="O725" s="8"/>
      <c r="P725" s="8"/>
      <c r="Q725" s="8"/>
      <c r="R725" s="8"/>
      <c r="S725" s="8"/>
      <c r="T725" s="82"/>
    </row>
    <row r="726" spans="1:20" ht="13.5" customHeight="1" x14ac:dyDescent="0.25">
      <c r="A726" s="307">
        <v>5</v>
      </c>
      <c r="B726" s="307"/>
      <c r="C726" s="170"/>
      <c r="D726" s="309"/>
      <c r="E726" s="172"/>
      <c r="F726" s="311"/>
      <c r="G726" s="313"/>
      <c r="H726" s="315"/>
      <c r="I726" s="8"/>
      <c r="J726" s="8"/>
      <c r="K726" s="8"/>
      <c r="L726" s="8"/>
      <c r="M726" s="8"/>
      <c r="N726" s="8"/>
      <c r="O726" s="8"/>
      <c r="P726" s="8"/>
      <c r="Q726" s="8"/>
      <c r="R726" s="8"/>
      <c r="S726" s="8"/>
      <c r="T726" s="82"/>
    </row>
    <row r="727" spans="1:20" ht="13.5" customHeight="1" x14ac:dyDescent="0.25">
      <c r="A727" s="308"/>
      <c r="B727" s="308"/>
      <c r="C727" s="171" t="str">
        <f>IFERROR(VLOOKUP(C726,Списки!$E:$F,2,0)," ")</f>
        <v xml:space="preserve"> </v>
      </c>
      <c r="D727" s="310"/>
      <c r="E727" s="172" t="str">
        <f>IFERROR(VLOOKUP(E726,Списки!$E:$F,2,0)," ")</f>
        <v xml:space="preserve"> </v>
      </c>
      <c r="F727" s="312"/>
      <c r="G727" s="314"/>
      <c r="H727" s="315"/>
      <c r="I727" s="8"/>
      <c r="J727" s="8"/>
      <c r="K727" s="8"/>
      <c r="L727" s="8"/>
      <c r="M727" s="8"/>
      <c r="N727" s="8"/>
      <c r="O727" s="8"/>
      <c r="P727" s="8"/>
      <c r="Q727" s="8"/>
      <c r="R727" s="8"/>
      <c r="S727" s="8"/>
      <c r="T727" s="82"/>
    </row>
    <row r="728" spans="1:20" ht="13.5" customHeight="1" x14ac:dyDescent="0.25">
      <c r="A728" s="307">
        <v>6</v>
      </c>
      <c r="B728" s="307"/>
      <c r="C728" s="170"/>
      <c r="D728" s="309"/>
      <c r="E728" s="170"/>
      <c r="F728" s="311"/>
      <c r="G728" s="313"/>
      <c r="H728" s="315"/>
      <c r="I728" s="8"/>
      <c r="J728" s="8"/>
      <c r="K728" s="8"/>
      <c r="L728" s="8"/>
      <c r="M728" s="8"/>
      <c r="N728" s="8"/>
      <c r="O728" s="8"/>
      <c r="P728" s="8"/>
      <c r="Q728" s="8"/>
      <c r="R728" s="8"/>
      <c r="S728" s="8"/>
      <c r="T728" s="82"/>
    </row>
    <row r="729" spans="1:20" ht="13.5" customHeight="1" x14ac:dyDescent="0.25">
      <c r="A729" s="308"/>
      <c r="B729" s="308"/>
      <c r="C729" s="171" t="str">
        <f>IFERROR(VLOOKUP(C728,Списки!$E:$F,2,0)," ")</f>
        <v xml:space="preserve"> </v>
      </c>
      <c r="D729" s="310"/>
      <c r="E729" s="179" t="str">
        <f>IFERROR(VLOOKUP(E728,Списки!$E:$F,2,0)," ")</f>
        <v xml:space="preserve"> </v>
      </c>
      <c r="F729" s="312"/>
      <c r="G729" s="314"/>
      <c r="H729" s="315"/>
      <c r="I729" s="8"/>
      <c r="J729" s="8"/>
      <c r="K729" s="8"/>
      <c r="L729" s="8"/>
      <c r="M729" s="8"/>
      <c r="N729" s="8"/>
      <c r="O729" s="8"/>
      <c r="P729" s="8"/>
      <c r="Q729" s="8"/>
      <c r="R729" s="8"/>
      <c r="S729" s="8"/>
      <c r="T729" s="82"/>
    </row>
    <row r="730" spans="1:20" ht="13.5" customHeight="1" x14ac:dyDescent="0.25">
      <c r="A730" s="307">
        <v>7</v>
      </c>
      <c r="B730" s="307"/>
      <c r="C730" s="170"/>
      <c r="D730" s="309"/>
      <c r="E730" s="170"/>
      <c r="F730" s="311"/>
      <c r="G730" s="313"/>
      <c r="H730" s="315"/>
      <c r="I730" s="8"/>
      <c r="J730" s="8"/>
      <c r="K730" s="8"/>
      <c r="L730" s="8"/>
      <c r="M730" s="8"/>
      <c r="N730" s="8"/>
      <c r="O730" s="8"/>
      <c r="P730" s="8"/>
      <c r="Q730" s="8"/>
      <c r="R730" s="8"/>
      <c r="S730" s="8"/>
      <c r="T730" s="82"/>
    </row>
    <row r="731" spans="1:20" ht="13.5" customHeight="1" x14ac:dyDescent="0.25">
      <c r="A731" s="308"/>
      <c r="B731" s="308"/>
      <c r="C731" s="179" t="str">
        <f>IFERROR(VLOOKUP(C730,Списки!$E:$F,2,0)," ")</f>
        <v xml:space="preserve"> </v>
      </c>
      <c r="D731" s="310"/>
      <c r="E731" s="171" t="str">
        <f>IFERROR(VLOOKUP(E730,Списки!$E:$F,2,0)," ")</f>
        <v xml:space="preserve"> </v>
      </c>
      <c r="F731" s="312"/>
      <c r="G731" s="314"/>
      <c r="H731" s="315"/>
      <c r="I731" s="8"/>
      <c r="J731" s="8"/>
      <c r="K731" s="8"/>
      <c r="L731" s="8"/>
      <c r="M731" s="8"/>
      <c r="N731" s="8"/>
      <c r="O731" s="8"/>
      <c r="P731" s="8"/>
      <c r="Q731" s="8"/>
      <c r="R731" s="8"/>
      <c r="S731" s="8"/>
      <c r="T731" s="82"/>
    </row>
    <row r="732" spans="1:20" ht="13.5" customHeight="1" x14ac:dyDescent="0.25">
      <c r="A732" s="307">
        <v>8</v>
      </c>
      <c r="B732" s="307"/>
      <c r="C732" s="170"/>
      <c r="D732" s="309"/>
      <c r="E732" s="170"/>
      <c r="F732" s="311"/>
      <c r="G732" s="313"/>
      <c r="H732" s="315"/>
      <c r="I732" s="8"/>
      <c r="J732" s="8"/>
      <c r="K732" s="8"/>
      <c r="L732" s="8"/>
      <c r="M732" s="8"/>
      <c r="N732" s="8"/>
      <c r="O732" s="8"/>
      <c r="P732" s="8"/>
      <c r="Q732" s="8"/>
      <c r="R732" s="8"/>
      <c r="S732" s="8"/>
      <c r="T732" s="82"/>
    </row>
    <row r="733" spans="1:20" ht="13.5" customHeight="1" x14ac:dyDescent="0.25">
      <c r="A733" s="308"/>
      <c r="B733" s="308"/>
      <c r="C733" s="179" t="str">
        <f>IFERROR(VLOOKUP(C732,Списки!$E:$F,2,0)," ")</f>
        <v xml:space="preserve"> </v>
      </c>
      <c r="D733" s="310"/>
      <c r="E733" s="171" t="str">
        <f>IFERROR(VLOOKUP(E732,Списки!$E:$F,2,0)," ")</f>
        <v xml:space="preserve"> </v>
      </c>
      <c r="F733" s="312"/>
      <c r="G733" s="314"/>
      <c r="H733" s="315"/>
      <c r="I733" s="8"/>
      <c r="J733" s="8"/>
      <c r="K733" s="8"/>
      <c r="L733" s="8"/>
      <c r="M733" s="8"/>
      <c r="N733" s="8"/>
      <c r="O733" s="8"/>
      <c r="P733" s="8"/>
      <c r="Q733" s="8"/>
      <c r="R733" s="8"/>
      <c r="S733" s="8"/>
      <c r="T733" s="82"/>
    </row>
    <row r="734" spans="1:20" ht="13.5" customHeight="1" x14ac:dyDescent="0.25">
      <c r="A734" s="307">
        <v>9</v>
      </c>
      <c r="B734" s="307"/>
      <c r="C734" s="170"/>
      <c r="D734" s="309"/>
      <c r="E734" s="170"/>
      <c r="F734" s="311"/>
      <c r="G734" s="313"/>
      <c r="H734" s="315"/>
      <c r="I734" s="8"/>
      <c r="J734" s="8"/>
      <c r="K734" s="8"/>
      <c r="L734" s="8"/>
      <c r="M734" s="8"/>
      <c r="N734" s="8"/>
      <c r="O734" s="8"/>
      <c r="P734" s="8"/>
      <c r="Q734" s="8"/>
      <c r="R734" s="8"/>
      <c r="S734" s="8"/>
      <c r="T734" s="82"/>
    </row>
    <row r="735" spans="1:20" ht="13.5" customHeight="1" x14ac:dyDescent="0.25">
      <c r="A735" s="308"/>
      <c r="B735" s="308"/>
      <c r="C735" s="171" t="str">
        <f>IFERROR(VLOOKUP(C734,Списки!$E:$F,2,0)," ")</f>
        <v xml:space="preserve"> </v>
      </c>
      <c r="D735" s="310"/>
      <c r="E735" s="171" t="str">
        <f>IFERROR(VLOOKUP(E734,Списки!$E:$F,2,0)," ")</f>
        <v xml:space="preserve"> </v>
      </c>
      <c r="F735" s="312"/>
      <c r="G735" s="314"/>
      <c r="H735" s="315"/>
      <c r="I735" s="8"/>
      <c r="J735" s="8"/>
      <c r="K735" s="8"/>
      <c r="L735" s="8"/>
      <c r="M735" s="8"/>
      <c r="N735" s="8"/>
      <c r="O735" s="8"/>
      <c r="P735" s="8"/>
      <c r="Q735" s="8"/>
      <c r="R735" s="8"/>
      <c r="S735" s="8"/>
      <c r="T735" s="82"/>
    </row>
    <row r="736" spans="1:20" ht="13.5" customHeight="1" x14ac:dyDescent="0.25">
      <c r="A736" s="307">
        <v>10</v>
      </c>
      <c r="B736" s="307"/>
      <c r="C736" s="170"/>
      <c r="D736" s="309"/>
      <c r="E736" s="170"/>
      <c r="F736" s="311"/>
      <c r="G736" s="313"/>
      <c r="H736" s="315"/>
      <c r="I736" s="8"/>
      <c r="J736" s="8"/>
      <c r="K736" s="8"/>
      <c r="L736" s="8"/>
      <c r="M736" s="8"/>
      <c r="N736" s="8"/>
      <c r="O736" s="8"/>
      <c r="P736" s="8"/>
      <c r="Q736" s="8"/>
      <c r="R736" s="8"/>
      <c r="S736" s="8"/>
      <c r="T736" s="82"/>
    </row>
    <row r="737" spans="1:20" ht="13.5" customHeight="1" x14ac:dyDescent="0.25">
      <c r="A737" s="308"/>
      <c r="B737" s="308"/>
      <c r="C737" s="171" t="str">
        <f>IFERROR(VLOOKUP(C736,Списки!$E:$F,2,0)," ")</f>
        <v xml:space="preserve"> </v>
      </c>
      <c r="D737" s="310"/>
      <c r="E737" s="171" t="str">
        <f>IFERROR(VLOOKUP(E736,Списки!$E:$F,2,0)," ")</f>
        <v xml:space="preserve"> </v>
      </c>
      <c r="F737" s="312"/>
      <c r="G737" s="314"/>
      <c r="H737" s="315"/>
      <c r="I737" s="8"/>
      <c r="J737" s="8"/>
      <c r="K737" s="8"/>
      <c r="L737" s="8"/>
      <c r="M737" s="8"/>
      <c r="N737" s="8"/>
      <c r="O737" s="8"/>
      <c r="P737" s="8"/>
      <c r="Q737" s="8"/>
      <c r="R737" s="8"/>
      <c r="S737" s="8"/>
      <c r="T737" s="82"/>
    </row>
    <row r="738" spans="1:20" ht="13.5" customHeight="1" x14ac:dyDescent="0.25">
      <c r="A738" s="307">
        <v>11</v>
      </c>
      <c r="B738" s="307"/>
      <c r="C738" s="170"/>
      <c r="D738" s="309"/>
      <c r="E738" s="170"/>
      <c r="F738" s="311"/>
      <c r="G738" s="313"/>
      <c r="H738" s="315"/>
      <c r="I738" s="8"/>
      <c r="J738" s="8"/>
      <c r="K738" s="8"/>
      <c r="L738" s="8"/>
      <c r="M738" s="8"/>
      <c r="N738" s="8"/>
      <c r="O738" s="8"/>
      <c r="P738" s="8"/>
      <c r="Q738" s="8"/>
      <c r="R738" s="8"/>
      <c r="S738" s="8"/>
      <c r="T738" s="82"/>
    </row>
    <row r="739" spans="1:20" ht="13.5" customHeight="1" x14ac:dyDescent="0.25">
      <c r="A739" s="308"/>
      <c r="B739" s="308"/>
      <c r="C739" s="171" t="str">
        <f>IFERROR(VLOOKUP(C738,Списки!$E:$F,2,0)," ")</f>
        <v xml:space="preserve"> </v>
      </c>
      <c r="D739" s="310"/>
      <c r="E739" s="171" t="str">
        <f>IFERROR(VLOOKUP(E738,Списки!$E:$F,2,0)," ")</f>
        <v xml:space="preserve"> </v>
      </c>
      <c r="F739" s="312"/>
      <c r="G739" s="314"/>
      <c r="H739" s="315"/>
      <c r="I739" s="8"/>
      <c r="J739" s="8"/>
      <c r="K739" s="8"/>
      <c r="L739" s="8"/>
      <c r="M739" s="8"/>
      <c r="N739" s="8"/>
      <c r="O739" s="8"/>
      <c r="P739" s="8"/>
      <c r="Q739" s="8"/>
      <c r="R739" s="8"/>
      <c r="S739" s="8"/>
      <c r="T739" s="82"/>
    </row>
    <row r="740" spans="1:20" ht="13.5" customHeight="1" x14ac:dyDescent="0.25">
      <c r="A740" s="307">
        <v>12</v>
      </c>
      <c r="B740" s="307"/>
      <c r="C740" s="170"/>
      <c r="D740" s="309"/>
      <c r="E740" s="170"/>
      <c r="F740" s="311"/>
      <c r="G740" s="313"/>
      <c r="H740" s="315"/>
      <c r="I740" s="8"/>
      <c r="J740" s="8"/>
      <c r="K740" s="8"/>
      <c r="L740" s="8"/>
      <c r="M740" s="8"/>
      <c r="N740" s="8"/>
      <c r="O740" s="8"/>
      <c r="P740" s="8"/>
      <c r="Q740" s="8"/>
      <c r="R740" s="8"/>
      <c r="S740" s="8"/>
      <c r="T740" s="82"/>
    </row>
    <row r="741" spans="1:20" ht="13.5" customHeight="1" x14ac:dyDescent="0.25">
      <c r="A741" s="308"/>
      <c r="B741" s="308"/>
      <c r="C741" s="171" t="str">
        <f>IFERROR(VLOOKUP(C740,Списки!$E:$F,2,0)," ")</f>
        <v xml:space="preserve"> </v>
      </c>
      <c r="D741" s="310"/>
      <c r="E741" s="171" t="str">
        <f>IFERROR(VLOOKUP(E740,Списки!$E:$F,2,0)," ")</f>
        <v xml:space="preserve"> </v>
      </c>
      <c r="F741" s="312"/>
      <c r="G741" s="314"/>
      <c r="H741" s="315"/>
      <c r="I741" s="8"/>
      <c r="J741" s="8"/>
      <c r="K741" s="8"/>
      <c r="L741" s="8"/>
      <c r="M741" s="8"/>
      <c r="N741" s="8"/>
      <c r="O741" s="8"/>
      <c r="P741" s="8"/>
      <c r="Q741" s="8"/>
      <c r="R741" s="8"/>
      <c r="S741" s="8"/>
      <c r="T741" s="82"/>
    </row>
    <row r="742" spans="1:20" ht="13.5" customHeight="1" x14ac:dyDescent="0.25">
      <c r="A742" s="307">
        <v>13</v>
      </c>
      <c r="B742" s="307"/>
      <c r="C742" s="170"/>
      <c r="D742" s="309"/>
      <c r="E742" s="170"/>
      <c r="F742" s="311"/>
      <c r="G742" s="313"/>
      <c r="H742" s="315"/>
      <c r="I742" s="8"/>
      <c r="J742" s="8"/>
      <c r="K742" s="8"/>
      <c r="L742" s="8"/>
      <c r="M742" s="8"/>
      <c r="N742" s="8"/>
      <c r="O742" s="8"/>
      <c r="P742" s="8"/>
      <c r="Q742" s="8"/>
      <c r="R742" s="8"/>
      <c r="S742" s="8"/>
      <c r="T742" s="82"/>
    </row>
    <row r="743" spans="1:20" ht="13.5" customHeight="1" x14ac:dyDescent="0.25">
      <c r="A743" s="308"/>
      <c r="B743" s="308"/>
      <c r="C743" s="171" t="str">
        <f>IFERROR(VLOOKUP(C742,Списки!$E:$F,2,0)," ")</f>
        <v xml:space="preserve"> </v>
      </c>
      <c r="D743" s="310"/>
      <c r="E743" s="171" t="str">
        <f>IFERROR(VLOOKUP(E742,Списки!$E:$F,2,0)," ")</f>
        <v xml:space="preserve"> </v>
      </c>
      <c r="F743" s="312"/>
      <c r="G743" s="314"/>
      <c r="H743" s="315"/>
      <c r="I743" s="8"/>
      <c r="J743" s="8"/>
      <c r="K743" s="8"/>
      <c r="L743" s="8"/>
      <c r="M743" s="8"/>
      <c r="N743" s="8"/>
      <c r="O743" s="8"/>
      <c r="P743" s="8"/>
      <c r="Q743" s="8"/>
      <c r="R743" s="8"/>
      <c r="S743" s="8"/>
      <c r="T743" s="82"/>
    </row>
    <row r="744" spans="1:20" ht="13.5" customHeight="1" x14ac:dyDescent="0.25">
      <c r="A744" s="307">
        <v>14</v>
      </c>
      <c r="B744" s="307"/>
      <c r="C744" s="170"/>
      <c r="D744" s="309"/>
      <c r="E744" s="170"/>
      <c r="F744" s="311"/>
      <c r="G744" s="313"/>
      <c r="H744" s="315"/>
      <c r="I744" s="8"/>
      <c r="J744" s="8"/>
      <c r="K744" s="8"/>
      <c r="L744" s="8"/>
      <c r="M744" s="8"/>
      <c r="N744" s="8"/>
      <c r="O744" s="8"/>
      <c r="P744" s="8"/>
      <c r="Q744" s="8"/>
      <c r="R744" s="8"/>
      <c r="S744" s="8"/>
      <c r="T744" s="82"/>
    </row>
    <row r="745" spans="1:20" ht="13.5" customHeight="1" x14ac:dyDescent="0.25">
      <c r="A745" s="308"/>
      <c r="B745" s="308"/>
      <c r="C745" s="171" t="str">
        <f>IFERROR(VLOOKUP(C744,Списки!$E:$F,2,0)," ")</f>
        <v xml:space="preserve"> </v>
      </c>
      <c r="D745" s="310"/>
      <c r="E745" s="171" t="str">
        <f>IFERROR(VLOOKUP(E744,Списки!$E:$F,2,0)," ")</f>
        <v xml:space="preserve"> </v>
      </c>
      <c r="F745" s="312"/>
      <c r="G745" s="314"/>
      <c r="H745" s="315"/>
      <c r="I745" s="8"/>
      <c r="J745" s="8"/>
      <c r="K745" s="8"/>
      <c r="L745" s="8"/>
      <c r="M745" s="8"/>
      <c r="N745" s="8"/>
      <c r="O745" s="8"/>
      <c r="P745" s="8"/>
      <c r="Q745" s="8"/>
      <c r="R745" s="8"/>
      <c r="S745" s="8"/>
      <c r="T745" s="82"/>
    </row>
    <row r="746" spans="1:20" ht="13.5" customHeight="1" x14ac:dyDescent="0.25">
      <c r="A746" s="307">
        <v>15</v>
      </c>
      <c r="B746" s="307"/>
      <c r="C746" s="170"/>
      <c r="D746" s="309"/>
      <c r="E746" s="170"/>
      <c r="F746" s="311"/>
      <c r="G746" s="313"/>
      <c r="H746" s="315"/>
      <c r="I746" s="8"/>
      <c r="J746" s="8"/>
      <c r="K746" s="8"/>
      <c r="L746" s="8"/>
      <c r="M746" s="8"/>
      <c r="N746" s="8"/>
      <c r="O746" s="8"/>
      <c r="P746" s="8"/>
      <c r="Q746" s="8"/>
      <c r="R746" s="8"/>
      <c r="S746" s="8"/>
      <c r="T746" s="82"/>
    </row>
    <row r="747" spans="1:20" ht="13.5" customHeight="1" x14ac:dyDescent="0.25">
      <c r="A747" s="308"/>
      <c r="B747" s="308"/>
      <c r="C747" s="171" t="str">
        <f>IFERROR(VLOOKUP(C746,Списки!$E:$F,2,0)," ")</f>
        <v xml:space="preserve"> </v>
      </c>
      <c r="D747" s="310"/>
      <c r="E747" s="171" t="str">
        <f>IFERROR(VLOOKUP(E746,Списки!$E:$F,2,0)," ")</f>
        <v xml:space="preserve"> </v>
      </c>
      <c r="F747" s="312"/>
      <c r="G747" s="314"/>
      <c r="H747" s="315"/>
      <c r="I747" s="8"/>
      <c r="J747" s="8"/>
      <c r="K747" s="8"/>
      <c r="L747" s="8"/>
      <c r="M747" s="8"/>
      <c r="N747" s="8"/>
      <c r="O747" s="8"/>
      <c r="P747" s="8"/>
      <c r="Q747" s="8"/>
      <c r="R747" s="8"/>
      <c r="S747" s="8"/>
      <c r="T747" s="82"/>
    </row>
    <row r="748" spans="1:20" x14ac:dyDescent="0.25">
      <c r="A748" s="36"/>
      <c r="B748" s="37"/>
      <c r="C748" s="173"/>
      <c r="D748" s="173"/>
      <c r="E748" s="174" t="s">
        <v>30</v>
      </c>
      <c r="F748" s="39">
        <f>IFERROR(SUM(IFERROR(IF((LOOKUP(9E+307,F718:F747))&gt;$M$39,(LOOKUP(9E+307,F718:F747))-$M$39,IF((LOOKUP(9E+307,F718:F747))&lt;0.166666667,0+(LOOKUP(9E+307,F718:F747))+1-$M$39,0)),0),(IF(AND(IF(D718,$M$38-D718,0)&gt;0,F718,F718&gt;D718),$M$38-D718,IF(AND(D718,F718,D718&gt;F718),"error",0)))),"ОШИБКА")</f>
        <v>0</v>
      </c>
      <c r="G748" s="40" t="s">
        <v>27</v>
      </c>
      <c r="H748" s="38">
        <f>SUM(H718:H747)</f>
        <v>0</v>
      </c>
      <c r="I748" s="8"/>
      <c r="J748" s="8"/>
      <c r="K748" s="8"/>
      <c r="L748" s="8"/>
      <c r="M748" s="8"/>
      <c r="N748" s="8"/>
      <c r="O748" s="8"/>
      <c r="P748" s="8"/>
      <c r="Q748" s="8"/>
      <c r="R748" s="8"/>
      <c r="S748" s="8"/>
      <c r="T748" s="82"/>
    </row>
    <row r="749" spans="1:20" ht="15.75" x14ac:dyDescent="0.25">
      <c r="A749" s="316">
        <f>DATE(K1,J1,23)</f>
        <v>43853</v>
      </c>
      <c r="B749" s="316"/>
      <c r="C749" s="316"/>
      <c r="D749" s="316"/>
      <c r="E749" s="316"/>
      <c r="F749" s="316"/>
      <c r="G749" s="316"/>
      <c r="H749" s="316"/>
      <c r="I749" s="8"/>
      <c r="J749" s="8"/>
      <c r="K749" s="8"/>
      <c r="L749" s="8"/>
      <c r="M749" s="8"/>
      <c r="N749" s="8"/>
      <c r="O749" s="8"/>
      <c r="P749" s="8"/>
      <c r="Q749" s="8"/>
      <c r="R749" s="8"/>
      <c r="S749" s="8"/>
      <c r="T749" s="82"/>
    </row>
    <row r="750" spans="1:20" ht="13.5" customHeight="1" x14ac:dyDescent="0.25">
      <c r="A750" s="318"/>
      <c r="B750" s="320" t="s">
        <v>34</v>
      </c>
      <c r="C750" s="175" t="s">
        <v>39</v>
      </c>
      <c r="D750" s="322" t="s">
        <v>36</v>
      </c>
      <c r="E750" s="175" t="s">
        <v>37</v>
      </c>
      <c r="F750" s="320" t="s">
        <v>36</v>
      </c>
      <c r="G750" s="324" t="s">
        <v>35</v>
      </c>
      <c r="H750" s="315" t="s">
        <v>40</v>
      </c>
      <c r="I750" s="8"/>
      <c r="J750" s="8"/>
      <c r="K750" s="8"/>
      <c r="L750" s="8"/>
      <c r="M750" s="8"/>
      <c r="N750" s="8"/>
      <c r="O750" s="8"/>
      <c r="P750" s="8"/>
      <c r="Q750" s="8"/>
      <c r="R750" s="8"/>
      <c r="S750" s="8"/>
      <c r="T750" s="82"/>
    </row>
    <row r="751" spans="1:20" ht="13.5" customHeight="1" x14ac:dyDescent="0.25">
      <c r="A751" s="319"/>
      <c r="B751" s="321"/>
      <c r="C751" s="169" t="s">
        <v>38</v>
      </c>
      <c r="D751" s="323"/>
      <c r="E751" s="169" t="s">
        <v>38</v>
      </c>
      <c r="F751" s="321"/>
      <c r="G751" s="325"/>
      <c r="H751" s="315"/>
      <c r="I751" s="8"/>
      <c r="J751" s="8"/>
      <c r="K751" s="8"/>
      <c r="L751" s="8"/>
      <c r="M751" s="8"/>
      <c r="N751" s="8"/>
      <c r="O751" s="8"/>
      <c r="P751" s="8"/>
      <c r="Q751" s="8"/>
      <c r="R751" s="8"/>
      <c r="S751" s="8"/>
      <c r="T751" s="82"/>
    </row>
    <row r="752" spans="1:20" ht="13.5" customHeight="1" x14ac:dyDescent="0.25">
      <c r="A752" s="307">
        <v>1</v>
      </c>
      <c r="B752" s="307"/>
      <c r="C752" s="170" t="s">
        <v>43</v>
      </c>
      <c r="D752" s="309"/>
      <c r="E752" s="170" t="s">
        <v>44</v>
      </c>
      <c r="F752" s="311"/>
      <c r="G752" s="313"/>
      <c r="H752" s="315"/>
      <c r="I752" s="8"/>
      <c r="J752" s="8"/>
      <c r="K752" s="8"/>
      <c r="L752" s="8"/>
      <c r="M752" s="8"/>
      <c r="N752" s="8"/>
      <c r="O752" s="8"/>
      <c r="P752" s="8"/>
      <c r="Q752" s="8"/>
      <c r="R752" s="8"/>
      <c r="S752" s="8"/>
      <c r="T752" s="82"/>
    </row>
    <row r="753" spans="1:20" ht="13.5" customHeight="1" x14ac:dyDescent="0.25">
      <c r="A753" s="308"/>
      <c r="B753" s="308"/>
      <c r="C753" s="171" t="str">
        <f>IFERROR(VLOOKUP(C752,Списки!$E:$F,2,0)," ")</f>
        <v>SAVUSHKINA ST 128</v>
      </c>
      <c r="D753" s="310"/>
      <c r="E753" s="171" t="str">
        <f>IFERROR(VLOOKUP(E752,Списки!$E:$F,2,0)," ")</f>
        <v>LEVASHOVSKOE HWY 20</v>
      </c>
      <c r="F753" s="312"/>
      <c r="G753" s="314"/>
      <c r="H753" s="315"/>
      <c r="I753" s="8"/>
      <c r="J753" s="8"/>
      <c r="K753" s="8"/>
      <c r="L753" s="8"/>
      <c r="M753" s="8"/>
      <c r="N753" s="8"/>
      <c r="O753" s="8"/>
      <c r="P753" s="8"/>
      <c r="Q753" s="8"/>
      <c r="R753" s="8"/>
      <c r="S753" s="8"/>
      <c r="T753" s="82"/>
    </row>
    <row r="754" spans="1:20" ht="13.5" customHeight="1" x14ac:dyDescent="0.25">
      <c r="A754" s="307">
        <v>2</v>
      </c>
      <c r="B754" s="307"/>
      <c r="C754" s="170" t="s">
        <v>44</v>
      </c>
      <c r="D754" s="309"/>
      <c r="E754" s="170"/>
      <c r="F754" s="311"/>
      <c r="G754" s="313"/>
      <c r="H754" s="315"/>
      <c r="I754" s="8"/>
      <c r="J754" s="8"/>
      <c r="K754" s="8"/>
      <c r="L754" s="8"/>
      <c r="M754" s="8"/>
      <c r="N754" s="8"/>
      <c r="O754" s="8"/>
      <c r="P754" s="8"/>
      <c r="Q754" s="8"/>
      <c r="R754" s="8"/>
      <c r="S754" s="8"/>
      <c r="T754" s="82"/>
    </row>
    <row r="755" spans="1:20" ht="13.5" customHeight="1" x14ac:dyDescent="0.25">
      <c r="A755" s="308"/>
      <c r="B755" s="308"/>
      <c r="C755" s="171" t="str">
        <f>IFERROR(VLOOKUP(C754,Списки!$E:$F,2,0)," ")</f>
        <v>LEVASHOVSKOE HWY 20</v>
      </c>
      <c r="D755" s="310"/>
      <c r="E755" s="171" t="str">
        <f>IFERROR(VLOOKUP(E754,Списки!$E:$F,2,0)," ")</f>
        <v xml:space="preserve"> </v>
      </c>
      <c r="F755" s="312"/>
      <c r="G755" s="314"/>
      <c r="H755" s="315"/>
      <c r="I755" s="8"/>
      <c r="J755" s="8"/>
      <c r="K755" s="8"/>
      <c r="L755" s="8"/>
      <c r="M755" s="8"/>
      <c r="N755" s="8"/>
      <c r="O755" s="8"/>
      <c r="P755" s="8"/>
      <c r="Q755" s="8"/>
      <c r="R755" s="8"/>
      <c r="S755" s="8"/>
      <c r="T755" s="82"/>
    </row>
    <row r="756" spans="1:20" ht="13.5" customHeight="1" x14ac:dyDescent="0.25">
      <c r="A756" s="307">
        <v>3</v>
      </c>
      <c r="B756" s="307"/>
      <c r="C756" s="170"/>
      <c r="D756" s="309"/>
      <c r="E756" s="170"/>
      <c r="F756" s="311"/>
      <c r="G756" s="313"/>
      <c r="H756" s="315"/>
      <c r="I756" s="8"/>
      <c r="J756" s="8"/>
      <c r="K756" s="8"/>
      <c r="L756" s="8"/>
      <c r="M756" s="8"/>
      <c r="N756" s="8"/>
      <c r="O756" s="8"/>
      <c r="P756" s="8"/>
      <c r="Q756" s="8"/>
      <c r="R756" s="8"/>
      <c r="S756" s="8"/>
      <c r="T756" s="82"/>
    </row>
    <row r="757" spans="1:20" ht="13.5" customHeight="1" x14ac:dyDescent="0.25">
      <c r="A757" s="308"/>
      <c r="B757" s="308"/>
      <c r="C757" s="171" t="str">
        <f>IFERROR(VLOOKUP(C756,Списки!$E:$F,2,0)," ")</f>
        <v xml:space="preserve"> </v>
      </c>
      <c r="D757" s="310"/>
      <c r="E757" s="171" t="str">
        <f>IFERROR(VLOOKUP(E756,Списки!$E:$F,2,0)," ")</f>
        <v xml:space="preserve"> </v>
      </c>
      <c r="F757" s="312"/>
      <c r="G757" s="314"/>
      <c r="H757" s="315"/>
      <c r="I757" s="8"/>
      <c r="J757" s="8"/>
      <c r="K757" s="8"/>
      <c r="L757" s="8"/>
      <c r="M757" s="8"/>
      <c r="N757" s="8"/>
      <c r="O757" s="8"/>
      <c r="P757" s="8"/>
      <c r="Q757" s="8"/>
      <c r="R757" s="8"/>
      <c r="S757" s="8"/>
      <c r="T757" s="82"/>
    </row>
    <row r="758" spans="1:20" ht="13.5" customHeight="1" x14ac:dyDescent="0.25">
      <c r="A758" s="307">
        <v>4</v>
      </c>
      <c r="B758" s="307"/>
      <c r="C758" s="170"/>
      <c r="D758" s="309"/>
      <c r="E758" s="170"/>
      <c r="F758" s="311"/>
      <c r="G758" s="313"/>
      <c r="H758" s="315"/>
      <c r="I758" s="8"/>
      <c r="J758" s="8"/>
      <c r="K758" s="8"/>
      <c r="L758" s="8"/>
      <c r="M758" s="8"/>
      <c r="N758" s="8"/>
      <c r="O758" s="8"/>
      <c r="P758" s="8"/>
      <c r="Q758" s="8"/>
      <c r="R758" s="8"/>
      <c r="S758" s="8"/>
      <c r="T758" s="82"/>
    </row>
    <row r="759" spans="1:20" ht="13.5" customHeight="1" x14ac:dyDescent="0.25">
      <c r="A759" s="308"/>
      <c r="B759" s="308"/>
      <c r="C759" s="171" t="str">
        <f>IFERROR(VLOOKUP(C758,Списки!$E:$F,2,0)," ")</f>
        <v xml:space="preserve"> </v>
      </c>
      <c r="D759" s="310"/>
      <c r="E759" s="171" t="str">
        <f>IFERROR(VLOOKUP(E758,Списки!$E:$F,2,0)," ")</f>
        <v xml:space="preserve"> </v>
      </c>
      <c r="F759" s="312"/>
      <c r="G759" s="314"/>
      <c r="H759" s="315"/>
      <c r="I759" s="8"/>
      <c r="J759" s="8"/>
      <c r="K759" s="8"/>
      <c r="L759" s="8"/>
      <c r="M759" s="8"/>
      <c r="N759" s="8"/>
      <c r="O759" s="8"/>
      <c r="P759" s="8"/>
      <c r="Q759" s="8"/>
      <c r="R759" s="8"/>
      <c r="S759" s="8"/>
      <c r="T759" s="82"/>
    </row>
    <row r="760" spans="1:20" ht="13.5" customHeight="1" x14ac:dyDescent="0.25">
      <c r="A760" s="307">
        <v>5</v>
      </c>
      <c r="B760" s="307"/>
      <c r="C760" s="170"/>
      <c r="D760" s="309"/>
      <c r="E760" s="172"/>
      <c r="F760" s="311"/>
      <c r="G760" s="313"/>
      <c r="H760" s="315"/>
      <c r="I760" s="8"/>
      <c r="J760" s="8"/>
      <c r="K760" s="8"/>
      <c r="L760" s="8"/>
      <c r="M760" s="8"/>
      <c r="N760" s="8"/>
      <c r="O760" s="8"/>
      <c r="P760" s="8"/>
      <c r="Q760" s="8"/>
      <c r="R760" s="8"/>
      <c r="S760" s="8"/>
      <c r="T760" s="82"/>
    </row>
    <row r="761" spans="1:20" ht="13.5" customHeight="1" x14ac:dyDescent="0.25">
      <c r="A761" s="308"/>
      <c r="B761" s="308"/>
      <c r="C761" s="171" t="str">
        <f>IFERROR(VLOOKUP(C760,Списки!$E:$F,2,0)," ")</f>
        <v xml:space="preserve"> </v>
      </c>
      <c r="D761" s="310"/>
      <c r="E761" s="172" t="str">
        <f>IFERROR(VLOOKUP(E760,Списки!$E:$F,2,0)," ")</f>
        <v xml:space="preserve"> </v>
      </c>
      <c r="F761" s="312"/>
      <c r="G761" s="314"/>
      <c r="H761" s="315"/>
      <c r="I761" s="8"/>
      <c r="J761" s="8"/>
      <c r="K761" s="8"/>
      <c r="L761" s="8"/>
      <c r="M761" s="8"/>
      <c r="N761" s="8"/>
      <c r="O761" s="8"/>
      <c r="P761" s="8"/>
      <c r="Q761" s="8"/>
      <c r="R761" s="8"/>
      <c r="S761" s="8"/>
      <c r="T761" s="82"/>
    </row>
    <row r="762" spans="1:20" ht="13.5" customHeight="1" x14ac:dyDescent="0.25">
      <c r="A762" s="307">
        <v>6</v>
      </c>
      <c r="B762" s="307"/>
      <c r="C762" s="170"/>
      <c r="D762" s="309"/>
      <c r="E762" s="170"/>
      <c r="F762" s="311"/>
      <c r="G762" s="313"/>
      <c r="H762" s="315"/>
      <c r="I762" s="8"/>
      <c r="J762" s="8"/>
      <c r="K762" s="8"/>
      <c r="L762" s="8"/>
      <c r="M762" s="8"/>
      <c r="N762" s="8"/>
      <c r="O762" s="8"/>
      <c r="P762" s="8"/>
      <c r="Q762" s="8"/>
      <c r="R762" s="8"/>
      <c r="S762" s="8"/>
      <c r="T762" s="82"/>
    </row>
    <row r="763" spans="1:20" ht="13.5" customHeight="1" x14ac:dyDescent="0.25">
      <c r="A763" s="308"/>
      <c r="B763" s="308"/>
      <c r="C763" s="171" t="str">
        <f>IFERROR(VLOOKUP(C762,Списки!$E:$F,2,0)," ")</f>
        <v xml:space="preserve"> </v>
      </c>
      <c r="D763" s="310"/>
      <c r="E763" s="179" t="str">
        <f>IFERROR(VLOOKUP(E762,Списки!$E:$F,2,0)," ")</f>
        <v xml:space="preserve"> </v>
      </c>
      <c r="F763" s="312"/>
      <c r="G763" s="314"/>
      <c r="H763" s="315"/>
      <c r="I763" s="8"/>
      <c r="J763" s="8"/>
      <c r="K763" s="8"/>
      <c r="L763" s="8"/>
      <c r="M763" s="8"/>
      <c r="N763" s="8"/>
      <c r="O763" s="8"/>
      <c r="P763" s="8"/>
      <c r="Q763" s="8"/>
      <c r="R763" s="8"/>
      <c r="S763" s="8"/>
      <c r="T763" s="82"/>
    </row>
    <row r="764" spans="1:20" ht="13.5" customHeight="1" x14ac:dyDescent="0.25">
      <c r="A764" s="307">
        <v>7</v>
      </c>
      <c r="B764" s="307"/>
      <c r="C764" s="170"/>
      <c r="D764" s="309"/>
      <c r="E764" s="170"/>
      <c r="F764" s="311"/>
      <c r="G764" s="313"/>
      <c r="H764" s="315"/>
      <c r="I764" s="8"/>
      <c r="J764" s="8"/>
      <c r="K764" s="8"/>
      <c r="L764" s="8"/>
      <c r="M764" s="8"/>
      <c r="N764" s="8"/>
      <c r="O764" s="8"/>
      <c r="P764" s="8"/>
      <c r="Q764" s="8"/>
      <c r="R764" s="8"/>
      <c r="S764" s="8"/>
      <c r="T764" s="82"/>
    </row>
    <row r="765" spans="1:20" ht="13.5" customHeight="1" x14ac:dyDescent="0.25">
      <c r="A765" s="308"/>
      <c r="B765" s="308"/>
      <c r="C765" s="179" t="str">
        <f>IFERROR(VLOOKUP(C764,Списки!$E:$F,2,0)," ")</f>
        <v xml:space="preserve"> </v>
      </c>
      <c r="D765" s="310"/>
      <c r="E765" s="171" t="str">
        <f>IFERROR(VLOOKUP(E764,Списки!$E:$F,2,0)," ")</f>
        <v xml:space="preserve"> </v>
      </c>
      <c r="F765" s="312"/>
      <c r="G765" s="314"/>
      <c r="H765" s="315"/>
      <c r="I765" s="8"/>
      <c r="J765" s="8"/>
      <c r="K765" s="8"/>
      <c r="L765" s="8"/>
      <c r="M765" s="8"/>
      <c r="N765" s="8"/>
      <c r="O765" s="8"/>
      <c r="P765" s="8"/>
      <c r="Q765" s="8"/>
      <c r="R765" s="8"/>
      <c r="S765" s="8"/>
      <c r="T765" s="82"/>
    </row>
    <row r="766" spans="1:20" ht="13.5" customHeight="1" x14ac:dyDescent="0.25">
      <c r="A766" s="307">
        <v>8</v>
      </c>
      <c r="B766" s="307"/>
      <c r="C766" s="170"/>
      <c r="D766" s="309"/>
      <c r="E766" s="170"/>
      <c r="F766" s="311"/>
      <c r="G766" s="313"/>
      <c r="H766" s="315"/>
      <c r="I766" s="8"/>
      <c r="J766" s="8"/>
      <c r="K766" s="8"/>
      <c r="L766" s="8"/>
      <c r="M766" s="8"/>
      <c r="N766" s="8"/>
      <c r="O766" s="8"/>
      <c r="P766" s="8"/>
      <c r="Q766" s="8"/>
      <c r="R766" s="8"/>
      <c r="S766" s="8"/>
      <c r="T766" s="82"/>
    </row>
    <row r="767" spans="1:20" ht="13.5" customHeight="1" x14ac:dyDescent="0.25">
      <c r="A767" s="308"/>
      <c r="B767" s="308"/>
      <c r="C767" s="179" t="str">
        <f>IFERROR(VLOOKUP(C766,Списки!$E:$F,2,0)," ")</f>
        <v xml:space="preserve"> </v>
      </c>
      <c r="D767" s="310"/>
      <c r="E767" s="171" t="str">
        <f>IFERROR(VLOOKUP(E766,Списки!$E:$F,2,0)," ")</f>
        <v xml:space="preserve"> </v>
      </c>
      <c r="F767" s="312"/>
      <c r="G767" s="314"/>
      <c r="H767" s="315"/>
      <c r="I767" s="8"/>
      <c r="J767" s="8"/>
      <c r="K767" s="8"/>
      <c r="L767" s="8"/>
      <c r="M767" s="8"/>
      <c r="N767" s="8"/>
      <c r="O767" s="8"/>
      <c r="P767" s="8"/>
      <c r="Q767" s="8"/>
      <c r="R767" s="8"/>
      <c r="S767" s="8"/>
      <c r="T767" s="82"/>
    </row>
    <row r="768" spans="1:20" ht="13.5" customHeight="1" x14ac:dyDescent="0.25">
      <c r="A768" s="307">
        <v>9</v>
      </c>
      <c r="B768" s="307"/>
      <c r="C768" s="170"/>
      <c r="D768" s="309"/>
      <c r="E768" s="170"/>
      <c r="F768" s="311"/>
      <c r="G768" s="313"/>
      <c r="H768" s="315"/>
      <c r="I768" s="8"/>
      <c r="J768" s="8"/>
      <c r="K768" s="8"/>
      <c r="L768" s="8"/>
      <c r="M768" s="8"/>
      <c r="N768" s="8"/>
      <c r="O768" s="8"/>
      <c r="P768" s="8"/>
      <c r="Q768" s="8"/>
      <c r="R768" s="8"/>
      <c r="S768" s="8"/>
      <c r="T768" s="82"/>
    </row>
    <row r="769" spans="1:20" ht="13.5" customHeight="1" x14ac:dyDescent="0.25">
      <c r="A769" s="308"/>
      <c r="B769" s="308"/>
      <c r="C769" s="171" t="str">
        <f>IFERROR(VLOOKUP(C768,Списки!$E:$F,2,0)," ")</f>
        <v xml:space="preserve"> </v>
      </c>
      <c r="D769" s="310"/>
      <c r="E769" s="171" t="str">
        <f>IFERROR(VLOOKUP(E768,Списки!$E:$F,2,0)," ")</f>
        <v xml:space="preserve"> </v>
      </c>
      <c r="F769" s="312"/>
      <c r="G769" s="314"/>
      <c r="H769" s="315"/>
      <c r="I769" s="8"/>
      <c r="J769" s="8"/>
      <c r="K769" s="8"/>
      <c r="L769" s="8"/>
      <c r="M769" s="8"/>
      <c r="N769" s="8"/>
      <c r="O769" s="8"/>
      <c r="P769" s="8"/>
      <c r="Q769" s="8"/>
      <c r="R769" s="8"/>
      <c r="S769" s="8"/>
      <c r="T769" s="82"/>
    </row>
    <row r="770" spans="1:20" ht="13.5" customHeight="1" x14ac:dyDescent="0.25">
      <c r="A770" s="307">
        <v>10</v>
      </c>
      <c r="B770" s="307"/>
      <c r="C770" s="170"/>
      <c r="D770" s="309"/>
      <c r="E770" s="170"/>
      <c r="F770" s="311"/>
      <c r="G770" s="313"/>
      <c r="H770" s="315"/>
      <c r="I770" s="8"/>
      <c r="J770" s="8"/>
      <c r="K770" s="8"/>
      <c r="L770" s="8"/>
      <c r="M770" s="8"/>
      <c r="N770" s="8"/>
      <c r="O770" s="8"/>
      <c r="P770" s="8"/>
      <c r="Q770" s="8"/>
      <c r="R770" s="8"/>
      <c r="S770" s="8"/>
      <c r="T770" s="82"/>
    </row>
    <row r="771" spans="1:20" ht="13.5" customHeight="1" x14ac:dyDescent="0.25">
      <c r="A771" s="308"/>
      <c r="B771" s="308"/>
      <c r="C771" s="171" t="str">
        <f>IFERROR(VLOOKUP(C770,Списки!$E:$F,2,0)," ")</f>
        <v xml:space="preserve"> </v>
      </c>
      <c r="D771" s="310"/>
      <c r="E771" s="171" t="str">
        <f>IFERROR(VLOOKUP(E770,Списки!$E:$F,2,0)," ")</f>
        <v xml:space="preserve"> </v>
      </c>
      <c r="F771" s="312"/>
      <c r="G771" s="314"/>
      <c r="H771" s="315"/>
      <c r="I771" s="8"/>
      <c r="J771" s="8"/>
      <c r="K771" s="8"/>
      <c r="L771" s="8"/>
      <c r="M771" s="8"/>
      <c r="N771" s="8"/>
      <c r="O771" s="8"/>
      <c r="P771" s="8"/>
      <c r="Q771" s="8"/>
      <c r="R771" s="8"/>
      <c r="S771" s="8"/>
      <c r="T771" s="82"/>
    </row>
    <row r="772" spans="1:20" ht="13.5" customHeight="1" x14ac:dyDescent="0.25">
      <c r="A772" s="307">
        <v>11</v>
      </c>
      <c r="B772" s="307"/>
      <c r="C772" s="170"/>
      <c r="D772" s="309"/>
      <c r="E772" s="170"/>
      <c r="F772" s="311"/>
      <c r="G772" s="313"/>
      <c r="H772" s="315"/>
      <c r="I772" s="8"/>
      <c r="J772" s="8"/>
      <c r="K772" s="8"/>
      <c r="L772" s="8"/>
      <c r="M772" s="8"/>
      <c r="N772" s="8"/>
      <c r="O772" s="8"/>
      <c r="P772" s="8"/>
      <c r="Q772" s="8"/>
      <c r="R772" s="8"/>
      <c r="S772" s="8"/>
      <c r="T772" s="82"/>
    </row>
    <row r="773" spans="1:20" ht="13.5" customHeight="1" x14ac:dyDescent="0.25">
      <c r="A773" s="308"/>
      <c r="B773" s="308"/>
      <c r="C773" s="171" t="str">
        <f>IFERROR(VLOOKUP(C772,Списки!$E:$F,2,0)," ")</f>
        <v xml:space="preserve"> </v>
      </c>
      <c r="D773" s="310"/>
      <c r="E773" s="171" t="str">
        <f>IFERROR(VLOOKUP(E772,Списки!$E:$F,2,0)," ")</f>
        <v xml:space="preserve"> </v>
      </c>
      <c r="F773" s="312"/>
      <c r="G773" s="314"/>
      <c r="H773" s="315"/>
      <c r="I773" s="8"/>
      <c r="J773" s="8"/>
      <c r="K773" s="8"/>
      <c r="L773" s="8"/>
      <c r="M773" s="8"/>
      <c r="N773" s="8"/>
      <c r="O773" s="8"/>
      <c r="P773" s="8"/>
      <c r="Q773" s="8"/>
      <c r="R773" s="8"/>
      <c r="S773" s="8"/>
      <c r="T773" s="82"/>
    </row>
    <row r="774" spans="1:20" ht="13.5" customHeight="1" x14ac:dyDescent="0.25">
      <c r="A774" s="307">
        <v>12</v>
      </c>
      <c r="B774" s="307"/>
      <c r="C774" s="170"/>
      <c r="D774" s="309"/>
      <c r="E774" s="170"/>
      <c r="F774" s="311"/>
      <c r="G774" s="313"/>
      <c r="H774" s="315"/>
      <c r="I774" s="8"/>
      <c r="J774" s="8"/>
      <c r="K774" s="8"/>
      <c r="L774" s="8"/>
      <c r="M774" s="8"/>
      <c r="N774" s="8"/>
      <c r="O774" s="8"/>
      <c r="P774" s="8"/>
      <c r="Q774" s="8"/>
      <c r="R774" s="8"/>
      <c r="S774" s="8"/>
      <c r="T774" s="82"/>
    </row>
    <row r="775" spans="1:20" ht="13.5" customHeight="1" x14ac:dyDescent="0.25">
      <c r="A775" s="308"/>
      <c r="B775" s="308"/>
      <c r="C775" s="171" t="str">
        <f>IFERROR(VLOOKUP(C774,Списки!$E:$F,2,0)," ")</f>
        <v xml:space="preserve"> </v>
      </c>
      <c r="D775" s="310"/>
      <c r="E775" s="171" t="str">
        <f>IFERROR(VLOOKUP(E774,Списки!$E:$F,2,0)," ")</f>
        <v xml:space="preserve"> </v>
      </c>
      <c r="F775" s="312"/>
      <c r="G775" s="314"/>
      <c r="H775" s="315"/>
      <c r="I775" s="8"/>
      <c r="J775" s="8"/>
      <c r="K775" s="8"/>
      <c r="L775" s="8"/>
      <c r="M775" s="8"/>
      <c r="N775" s="8"/>
      <c r="O775" s="8"/>
      <c r="P775" s="8"/>
      <c r="Q775" s="8"/>
      <c r="R775" s="8"/>
      <c r="S775" s="8"/>
      <c r="T775" s="82"/>
    </row>
    <row r="776" spans="1:20" ht="13.5" customHeight="1" x14ac:dyDescent="0.25">
      <c r="A776" s="307">
        <v>13</v>
      </c>
      <c r="B776" s="307"/>
      <c r="C776" s="170"/>
      <c r="D776" s="309"/>
      <c r="E776" s="170"/>
      <c r="F776" s="311"/>
      <c r="G776" s="313"/>
      <c r="H776" s="315"/>
      <c r="I776" s="8"/>
      <c r="J776" s="8"/>
      <c r="K776" s="8"/>
      <c r="L776" s="8"/>
      <c r="M776" s="8"/>
      <c r="N776" s="8"/>
      <c r="O776" s="8"/>
      <c r="P776" s="8"/>
      <c r="Q776" s="8"/>
      <c r="R776" s="8"/>
      <c r="S776" s="8"/>
      <c r="T776" s="82"/>
    </row>
    <row r="777" spans="1:20" ht="13.5" customHeight="1" x14ac:dyDescent="0.25">
      <c r="A777" s="308"/>
      <c r="B777" s="308"/>
      <c r="C777" s="171" t="str">
        <f>IFERROR(VLOOKUP(C776,Списки!$E:$F,2,0)," ")</f>
        <v xml:space="preserve"> </v>
      </c>
      <c r="D777" s="310"/>
      <c r="E777" s="171" t="str">
        <f>IFERROR(VLOOKUP(E776,Списки!$E:$F,2,0)," ")</f>
        <v xml:space="preserve"> </v>
      </c>
      <c r="F777" s="312"/>
      <c r="G777" s="314"/>
      <c r="H777" s="315"/>
      <c r="I777" s="8"/>
      <c r="J777" s="8"/>
      <c r="K777" s="8"/>
      <c r="L777" s="8"/>
      <c r="M777" s="8"/>
      <c r="N777" s="8"/>
      <c r="O777" s="8"/>
      <c r="P777" s="8"/>
      <c r="Q777" s="8"/>
      <c r="R777" s="8"/>
      <c r="S777" s="8"/>
      <c r="T777" s="82"/>
    </row>
    <row r="778" spans="1:20" ht="13.5" customHeight="1" x14ac:dyDescent="0.25">
      <c r="A778" s="307">
        <v>14</v>
      </c>
      <c r="B778" s="307"/>
      <c r="C778" s="170"/>
      <c r="D778" s="309"/>
      <c r="E778" s="170"/>
      <c r="F778" s="311"/>
      <c r="G778" s="313"/>
      <c r="H778" s="315"/>
      <c r="I778" s="8"/>
      <c r="J778" s="8"/>
      <c r="K778" s="8"/>
      <c r="L778" s="8"/>
      <c r="M778" s="8"/>
      <c r="N778" s="8"/>
      <c r="O778" s="8"/>
      <c r="P778" s="8"/>
      <c r="Q778" s="8"/>
      <c r="R778" s="8"/>
      <c r="S778" s="8"/>
      <c r="T778" s="82"/>
    </row>
    <row r="779" spans="1:20" ht="13.5" customHeight="1" x14ac:dyDescent="0.25">
      <c r="A779" s="308"/>
      <c r="B779" s="308"/>
      <c r="C779" s="171" t="str">
        <f>IFERROR(VLOOKUP(C778,Списки!$E:$F,2,0)," ")</f>
        <v xml:space="preserve"> </v>
      </c>
      <c r="D779" s="310"/>
      <c r="E779" s="171" t="str">
        <f>IFERROR(VLOOKUP(E778,Списки!$E:$F,2,0)," ")</f>
        <v xml:space="preserve"> </v>
      </c>
      <c r="F779" s="312"/>
      <c r="G779" s="314"/>
      <c r="H779" s="315"/>
      <c r="I779" s="8"/>
      <c r="J779" s="8"/>
      <c r="K779" s="8"/>
      <c r="L779" s="8"/>
      <c r="M779" s="8"/>
      <c r="N779" s="8"/>
      <c r="O779" s="8"/>
      <c r="P779" s="8"/>
      <c r="Q779" s="8"/>
      <c r="R779" s="8"/>
      <c r="S779" s="8"/>
      <c r="T779" s="82"/>
    </row>
    <row r="780" spans="1:20" ht="13.5" customHeight="1" x14ac:dyDescent="0.25">
      <c r="A780" s="307">
        <v>15</v>
      </c>
      <c r="B780" s="307"/>
      <c r="C780" s="170"/>
      <c r="D780" s="309"/>
      <c r="E780" s="170"/>
      <c r="F780" s="311"/>
      <c r="G780" s="313"/>
      <c r="H780" s="315"/>
      <c r="I780" s="8"/>
      <c r="J780" s="8"/>
      <c r="K780" s="8"/>
      <c r="L780" s="8"/>
      <c r="M780" s="8"/>
      <c r="N780" s="8"/>
      <c r="O780" s="8"/>
      <c r="P780" s="8"/>
      <c r="Q780" s="8"/>
      <c r="R780" s="8"/>
      <c r="S780" s="8"/>
      <c r="T780" s="82"/>
    </row>
    <row r="781" spans="1:20" ht="13.5" customHeight="1" x14ac:dyDescent="0.25">
      <c r="A781" s="308"/>
      <c r="B781" s="308"/>
      <c r="C781" s="171" t="str">
        <f>IFERROR(VLOOKUP(C780,Списки!$E:$F,2,0)," ")</f>
        <v xml:space="preserve"> </v>
      </c>
      <c r="D781" s="310"/>
      <c r="E781" s="171" t="str">
        <f>IFERROR(VLOOKUP(E780,Списки!$E:$F,2,0)," ")</f>
        <v xml:space="preserve"> </v>
      </c>
      <c r="F781" s="312"/>
      <c r="G781" s="314"/>
      <c r="H781" s="315"/>
      <c r="I781" s="8"/>
      <c r="J781" s="8"/>
      <c r="K781" s="8"/>
      <c r="L781" s="8"/>
      <c r="M781" s="8"/>
      <c r="N781" s="8"/>
      <c r="O781" s="8"/>
      <c r="P781" s="8"/>
      <c r="Q781" s="8"/>
      <c r="R781" s="8"/>
      <c r="S781" s="8"/>
      <c r="T781" s="82"/>
    </row>
    <row r="782" spans="1:20" x14ac:dyDescent="0.25">
      <c r="A782" s="36"/>
      <c r="B782" s="37"/>
      <c r="C782" s="173"/>
      <c r="D782" s="173"/>
      <c r="E782" s="174" t="s">
        <v>30</v>
      </c>
      <c r="F782" s="39">
        <f>IFERROR(SUM(IFERROR(IF((LOOKUP(9E+307,F752:F781))&gt;$M$39,(LOOKUP(9E+307,F752:F781))-$M$39,IF((LOOKUP(9E+307,F752:F781))&lt;0.166666667,0+(LOOKUP(9E+307,F752:F781))+1-$M$39,0)),0),(IF(AND(IF(D752,$M$38-D752,0)&gt;0,F752,F752&gt;D752),$M$38-D752,IF(AND(D752,F752,D752&gt;F752),"error",0)))),"ОШИБКА")</f>
        <v>0</v>
      </c>
      <c r="G782" s="40" t="s">
        <v>27</v>
      </c>
      <c r="H782" s="38">
        <f>SUM(H752:H781)</f>
        <v>0</v>
      </c>
      <c r="I782" s="8"/>
      <c r="J782" s="8"/>
      <c r="K782" s="8"/>
      <c r="L782" s="8"/>
      <c r="M782" s="8"/>
      <c r="N782" s="8"/>
      <c r="O782" s="8"/>
      <c r="P782" s="8"/>
      <c r="Q782" s="8"/>
      <c r="R782" s="8"/>
      <c r="S782" s="8"/>
      <c r="T782" s="82"/>
    </row>
    <row r="783" spans="1:20" ht="15.75" x14ac:dyDescent="0.25">
      <c r="A783" s="316">
        <f>DATE(K1,J1,24)</f>
        <v>43854</v>
      </c>
      <c r="B783" s="316"/>
      <c r="C783" s="316"/>
      <c r="D783" s="316"/>
      <c r="E783" s="316"/>
      <c r="F783" s="316"/>
      <c r="G783" s="316"/>
      <c r="H783" s="316"/>
      <c r="I783" s="8"/>
      <c r="J783" s="8"/>
      <c r="K783" s="8"/>
      <c r="L783" s="8"/>
      <c r="M783" s="8"/>
      <c r="N783" s="8"/>
      <c r="O783" s="8"/>
      <c r="P783" s="8"/>
      <c r="Q783" s="8"/>
      <c r="R783" s="8"/>
      <c r="S783" s="8"/>
      <c r="T783" s="82"/>
    </row>
    <row r="784" spans="1:20" ht="13.5" customHeight="1" x14ac:dyDescent="0.25">
      <c r="A784" s="318"/>
      <c r="B784" s="320" t="s">
        <v>34</v>
      </c>
      <c r="C784" s="175" t="s">
        <v>39</v>
      </c>
      <c r="D784" s="322" t="s">
        <v>36</v>
      </c>
      <c r="E784" s="175" t="s">
        <v>37</v>
      </c>
      <c r="F784" s="320" t="s">
        <v>36</v>
      </c>
      <c r="G784" s="324" t="s">
        <v>35</v>
      </c>
      <c r="H784" s="315" t="s">
        <v>40</v>
      </c>
      <c r="I784" s="8"/>
      <c r="J784" s="8"/>
      <c r="K784" s="8"/>
      <c r="L784" s="8"/>
      <c r="M784" s="8"/>
      <c r="N784" s="8"/>
      <c r="O784" s="8"/>
      <c r="P784" s="8"/>
      <c r="Q784" s="8"/>
      <c r="R784" s="8"/>
      <c r="S784" s="8"/>
      <c r="T784" s="82"/>
    </row>
    <row r="785" spans="1:20" ht="13.5" customHeight="1" x14ac:dyDescent="0.25">
      <c r="A785" s="319"/>
      <c r="B785" s="321"/>
      <c r="C785" s="169" t="s">
        <v>38</v>
      </c>
      <c r="D785" s="323"/>
      <c r="E785" s="169" t="s">
        <v>38</v>
      </c>
      <c r="F785" s="321"/>
      <c r="G785" s="325"/>
      <c r="H785" s="315"/>
      <c r="I785" s="8"/>
      <c r="J785" s="8"/>
      <c r="K785" s="8"/>
      <c r="L785" s="8"/>
      <c r="M785" s="8"/>
      <c r="N785" s="8"/>
      <c r="O785" s="8"/>
      <c r="P785" s="8"/>
      <c r="Q785" s="8"/>
      <c r="R785" s="8"/>
      <c r="S785" s="8"/>
      <c r="T785" s="82"/>
    </row>
    <row r="786" spans="1:20" ht="13.5" customHeight="1" x14ac:dyDescent="0.25">
      <c r="A786" s="307">
        <v>1</v>
      </c>
      <c r="B786" s="307"/>
      <c r="C786" s="170" t="s">
        <v>43</v>
      </c>
      <c r="D786" s="309"/>
      <c r="E786" s="170" t="s">
        <v>44</v>
      </c>
      <c r="F786" s="311"/>
      <c r="G786" s="313"/>
      <c r="H786" s="315"/>
      <c r="I786" s="8"/>
      <c r="J786" s="8"/>
      <c r="K786" s="8"/>
      <c r="L786" s="8"/>
      <c r="M786" s="8"/>
      <c r="N786" s="8"/>
      <c r="O786" s="8"/>
      <c r="P786" s="8"/>
      <c r="Q786" s="8"/>
      <c r="R786" s="8"/>
      <c r="S786" s="8"/>
      <c r="T786" s="82"/>
    </row>
    <row r="787" spans="1:20" ht="13.5" customHeight="1" x14ac:dyDescent="0.25">
      <c r="A787" s="308"/>
      <c r="B787" s="308"/>
      <c r="C787" s="171" t="str">
        <f>IFERROR(VLOOKUP(C786,Списки!$E:$F,2,0)," ")</f>
        <v>SAVUSHKINA ST 128</v>
      </c>
      <c r="D787" s="310"/>
      <c r="E787" s="171" t="str">
        <f>IFERROR(VLOOKUP(E786,Списки!$E:$F,2,0)," ")</f>
        <v>LEVASHOVSKOE HWY 20</v>
      </c>
      <c r="F787" s="312"/>
      <c r="G787" s="314"/>
      <c r="H787" s="315"/>
      <c r="I787" s="8"/>
      <c r="J787" s="8"/>
      <c r="K787" s="8"/>
      <c r="L787" s="8"/>
      <c r="M787" s="8"/>
      <c r="N787" s="8"/>
      <c r="O787" s="8"/>
      <c r="P787" s="8"/>
      <c r="Q787" s="8"/>
      <c r="R787" s="8"/>
      <c r="S787" s="8"/>
      <c r="T787" s="82"/>
    </row>
    <row r="788" spans="1:20" ht="13.5" customHeight="1" x14ac:dyDescent="0.25">
      <c r="A788" s="307">
        <v>2</v>
      </c>
      <c r="B788" s="307"/>
      <c r="C788" s="170" t="s">
        <v>44</v>
      </c>
      <c r="D788" s="309"/>
      <c r="E788" s="170"/>
      <c r="F788" s="311"/>
      <c r="G788" s="313"/>
      <c r="H788" s="315"/>
      <c r="I788" s="8"/>
      <c r="J788" s="8"/>
      <c r="K788" s="8"/>
      <c r="L788" s="8"/>
      <c r="M788" s="8"/>
      <c r="N788" s="8"/>
      <c r="O788" s="8"/>
      <c r="P788" s="8"/>
      <c r="Q788" s="8"/>
      <c r="R788" s="8"/>
      <c r="S788" s="8"/>
      <c r="T788" s="82"/>
    </row>
    <row r="789" spans="1:20" ht="13.5" customHeight="1" x14ac:dyDescent="0.25">
      <c r="A789" s="308"/>
      <c r="B789" s="308"/>
      <c r="C789" s="171" t="str">
        <f>IFERROR(VLOOKUP(C788,Списки!$E:$F,2,0)," ")</f>
        <v>LEVASHOVSKOE HWY 20</v>
      </c>
      <c r="D789" s="310"/>
      <c r="E789" s="171" t="str">
        <f>IFERROR(VLOOKUP(E788,Списки!$E:$F,2,0)," ")</f>
        <v xml:space="preserve"> </v>
      </c>
      <c r="F789" s="312"/>
      <c r="G789" s="314"/>
      <c r="H789" s="315"/>
      <c r="I789" s="8"/>
      <c r="J789" s="8"/>
      <c r="K789" s="8"/>
      <c r="L789" s="8"/>
      <c r="M789" s="8"/>
      <c r="N789" s="8"/>
      <c r="O789" s="8"/>
      <c r="P789" s="8"/>
      <c r="Q789" s="8"/>
      <c r="R789" s="8"/>
      <c r="S789" s="8"/>
      <c r="T789" s="82"/>
    </row>
    <row r="790" spans="1:20" ht="13.5" customHeight="1" x14ac:dyDescent="0.25">
      <c r="A790" s="307">
        <v>3</v>
      </c>
      <c r="B790" s="307"/>
      <c r="C790" s="170"/>
      <c r="D790" s="309"/>
      <c r="E790" s="170"/>
      <c r="F790" s="311"/>
      <c r="G790" s="313"/>
      <c r="H790" s="315"/>
      <c r="I790" s="8"/>
      <c r="J790" s="8"/>
      <c r="K790" s="8"/>
      <c r="L790" s="8"/>
      <c r="M790" s="8"/>
      <c r="N790" s="8"/>
      <c r="O790" s="8"/>
      <c r="P790" s="8"/>
      <c r="Q790" s="8"/>
      <c r="R790" s="8"/>
      <c r="S790" s="8"/>
      <c r="T790" s="82"/>
    </row>
    <row r="791" spans="1:20" ht="13.5" customHeight="1" x14ac:dyDescent="0.25">
      <c r="A791" s="308"/>
      <c r="B791" s="308"/>
      <c r="C791" s="171" t="str">
        <f>IFERROR(VLOOKUP(C790,Списки!$E:$F,2,0)," ")</f>
        <v xml:space="preserve"> </v>
      </c>
      <c r="D791" s="310"/>
      <c r="E791" s="171" t="str">
        <f>IFERROR(VLOOKUP(E790,Списки!$E:$F,2,0)," ")</f>
        <v xml:space="preserve"> </v>
      </c>
      <c r="F791" s="312"/>
      <c r="G791" s="314"/>
      <c r="H791" s="315"/>
      <c r="I791" s="8"/>
      <c r="J791" s="8"/>
      <c r="K791" s="8"/>
      <c r="L791" s="8"/>
      <c r="M791" s="8"/>
      <c r="N791" s="8"/>
      <c r="O791" s="8"/>
      <c r="P791" s="8"/>
      <c r="Q791" s="8"/>
      <c r="R791" s="8"/>
      <c r="S791" s="8"/>
      <c r="T791" s="82"/>
    </row>
    <row r="792" spans="1:20" ht="13.5" customHeight="1" x14ac:dyDescent="0.25">
      <c r="A792" s="307">
        <v>4</v>
      </c>
      <c r="B792" s="307"/>
      <c r="C792" s="170"/>
      <c r="D792" s="309"/>
      <c r="E792" s="170"/>
      <c r="F792" s="311"/>
      <c r="G792" s="313"/>
      <c r="H792" s="315"/>
      <c r="I792" s="8"/>
      <c r="J792" s="8"/>
      <c r="K792" s="8"/>
      <c r="L792" s="8"/>
      <c r="M792" s="8"/>
      <c r="N792" s="8"/>
      <c r="O792" s="8"/>
      <c r="P792" s="8"/>
      <c r="Q792" s="8"/>
      <c r="R792" s="8"/>
      <c r="S792" s="8"/>
      <c r="T792" s="82"/>
    </row>
    <row r="793" spans="1:20" ht="13.5" customHeight="1" x14ac:dyDescent="0.25">
      <c r="A793" s="308"/>
      <c r="B793" s="308"/>
      <c r="C793" s="171" t="str">
        <f>IFERROR(VLOOKUP(C792,Списки!$E:$F,2,0)," ")</f>
        <v xml:space="preserve"> </v>
      </c>
      <c r="D793" s="310"/>
      <c r="E793" s="171" t="str">
        <f>IFERROR(VLOOKUP(E792,Списки!$E:$F,2,0)," ")</f>
        <v xml:space="preserve"> </v>
      </c>
      <c r="F793" s="312"/>
      <c r="G793" s="314"/>
      <c r="H793" s="315"/>
      <c r="I793" s="8"/>
      <c r="J793" s="8"/>
      <c r="K793" s="8"/>
      <c r="L793" s="8"/>
      <c r="M793" s="8"/>
      <c r="N793" s="8"/>
      <c r="O793" s="8"/>
      <c r="P793" s="8"/>
      <c r="Q793" s="8"/>
      <c r="R793" s="8"/>
      <c r="S793" s="8"/>
      <c r="T793" s="82"/>
    </row>
    <row r="794" spans="1:20" ht="13.5" customHeight="1" x14ac:dyDescent="0.25">
      <c r="A794" s="307">
        <v>5</v>
      </c>
      <c r="B794" s="307"/>
      <c r="C794" s="170"/>
      <c r="D794" s="309"/>
      <c r="E794" s="172"/>
      <c r="F794" s="311"/>
      <c r="G794" s="313"/>
      <c r="H794" s="315"/>
      <c r="I794" s="8"/>
      <c r="J794" s="8"/>
      <c r="K794" s="8"/>
      <c r="L794" s="8"/>
      <c r="M794" s="8"/>
      <c r="N794" s="8"/>
      <c r="O794" s="8"/>
      <c r="P794" s="8"/>
      <c r="Q794" s="8"/>
      <c r="R794" s="8"/>
      <c r="S794" s="8"/>
      <c r="T794" s="82"/>
    </row>
    <row r="795" spans="1:20" ht="13.5" customHeight="1" x14ac:dyDescent="0.25">
      <c r="A795" s="308"/>
      <c r="B795" s="308"/>
      <c r="C795" s="171" t="str">
        <f>IFERROR(VLOOKUP(C794,Списки!$E:$F,2,0)," ")</f>
        <v xml:space="preserve"> </v>
      </c>
      <c r="D795" s="310"/>
      <c r="E795" s="172" t="str">
        <f>IFERROR(VLOOKUP(E794,Списки!$E:$F,2,0)," ")</f>
        <v xml:space="preserve"> </v>
      </c>
      <c r="F795" s="312"/>
      <c r="G795" s="314"/>
      <c r="H795" s="315"/>
      <c r="I795" s="8"/>
      <c r="J795" s="8"/>
      <c r="K795" s="8"/>
      <c r="L795" s="8"/>
      <c r="M795" s="8"/>
      <c r="N795" s="8"/>
      <c r="O795" s="8"/>
      <c r="P795" s="8"/>
      <c r="Q795" s="8"/>
      <c r="R795" s="8"/>
      <c r="S795" s="8"/>
      <c r="T795" s="82"/>
    </row>
    <row r="796" spans="1:20" ht="13.5" customHeight="1" x14ac:dyDescent="0.25">
      <c r="A796" s="307">
        <v>6</v>
      </c>
      <c r="B796" s="307"/>
      <c r="C796" s="170"/>
      <c r="D796" s="309"/>
      <c r="E796" s="170"/>
      <c r="F796" s="311"/>
      <c r="G796" s="313"/>
      <c r="H796" s="315"/>
      <c r="I796" s="8"/>
      <c r="J796" s="8"/>
      <c r="K796" s="8"/>
      <c r="L796" s="8"/>
      <c r="M796" s="8"/>
      <c r="N796" s="8"/>
      <c r="O796" s="8"/>
      <c r="P796" s="8"/>
      <c r="Q796" s="8"/>
      <c r="R796" s="8"/>
      <c r="S796" s="8"/>
      <c r="T796" s="82"/>
    </row>
    <row r="797" spans="1:20" ht="13.5" customHeight="1" x14ac:dyDescent="0.25">
      <c r="A797" s="308"/>
      <c r="B797" s="308"/>
      <c r="C797" s="171" t="str">
        <f>IFERROR(VLOOKUP(C796,Списки!$E:$F,2,0)," ")</f>
        <v xml:space="preserve"> </v>
      </c>
      <c r="D797" s="310"/>
      <c r="E797" s="179" t="str">
        <f>IFERROR(VLOOKUP(E796,Списки!$E:$F,2,0)," ")</f>
        <v xml:space="preserve"> </v>
      </c>
      <c r="F797" s="312"/>
      <c r="G797" s="314"/>
      <c r="H797" s="315"/>
      <c r="I797" s="8"/>
      <c r="J797" s="8"/>
      <c r="K797" s="8"/>
      <c r="L797" s="8"/>
      <c r="M797" s="8"/>
      <c r="N797" s="8"/>
      <c r="O797" s="8"/>
      <c r="P797" s="8"/>
      <c r="Q797" s="8"/>
      <c r="R797" s="8"/>
      <c r="S797" s="8"/>
      <c r="T797" s="82"/>
    </row>
    <row r="798" spans="1:20" ht="13.5" customHeight="1" x14ac:dyDescent="0.25">
      <c r="A798" s="307">
        <v>7</v>
      </c>
      <c r="B798" s="307"/>
      <c r="C798" s="170"/>
      <c r="D798" s="309"/>
      <c r="E798" s="170"/>
      <c r="F798" s="311"/>
      <c r="G798" s="313"/>
      <c r="H798" s="315"/>
      <c r="I798" s="8"/>
      <c r="J798" s="8"/>
      <c r="K798" s="8"/>
      <c r="L798" s="8"/>
      <c r="M798" s="8"/>
      <c r="N798" s="8"/>
      <c r="O798" s="8"/>
      <c r="P798" s="8"/>
      <c r="Q798" s="8"/>
      <c r="R798" s="8"/>
      <c r="S798" s="8"/>
      <c r="T798" s="82"/>
    </row>
    <row r="799" spans="1:20" ht="13.5" customHeight="1" x14ac:dyDescent="0.25">
      <c r="A799" s="308"/>
      <c r="B799" s="308"/>
      <c r="C799" s="179" t="str">
        <f>IFERROR(VLOOKUP(C798,Списки!$E:$F,2,0)," ")</f>
        <v xml:space="preserve"> </v>
      </c>
      <c r="D799" s="310"/>
      <c r="E799" s="171" t="str">
        <f>IFERROR(VLOOKUP(E798,Списки!$E:$F,2,0)," ")</f>
        <v xml:space="preserve"> </v>
      </c>
      <c r="F799" s="312"/>
      <c r="G799" s="314"/>
      <c r="H799" s="315"/>
      <c r="I799" s="8"/>
      <c r="J799" s="8"/>
      <c r="K799" s="8"/>
      <c r="L799" s="8"/>
      <c r="M799" s="8"/>
      <c r="N799" s="8"/>
      <c r="O799" s="8"/>
      <c r="P799" s="8"/>
      <c r="Q799" s="8"/>
      <c r="R799" s="8"/>
      <c r="S799" s="8"/>
      <c r="T799" s="82"/>
    </row>
    <row r="800" spans="1:20" ht="13.5" customHeight="1" x14ac:dyDescent="0.25">
      <c r="A800" s="307">
        <v>8</v>
      </c>
      <c r="B800" s="307"/>
      <c r="C800" s="170"/>
      <c r="D800" s="309"/>
      <c r="E800" s="170"/>
      <c r="F800" s="311"/>
      <c r="G800" s="313"/>
      <c r="H800" s="315"/>
      <c r="I800" s="8"/>
      <c r="J800" s="8"/>
      <c r="K800" s="8"/>
      <c r="L800" s="8"/>
      <c r="M800" s="8"/>
      <c r="N800" s="8"/>
      <c r="O800" s="8"/>
      <c r="P800" s="8"/>
      <c r="Q800" s="8"/>
      <c r="R800" s="8"/>
      <c r="S800" s="8"/>
      <c r="T800" s="82"/>
    </row>
    <row r="801" spans="1:20" ht="13.5" customHeight="1" x14ac:dyDescent="0.25">
      <c r="A801" s="308"/>
      <c r="B801" s="308"/>
      <c r="C801" s="179" t="str">
        <f>IFERROR(VLOOKUP(C800,Списки!$E:$F,2,0)," ")</f>
        <v xml:space="preserve"> </v>
      </c>
      <c r="D801" s="310"/>
      <c r="E801" s="171" t="str">
        <f>IFERROR(VLOOKUP(E800,Списки!$E:$F,2,0)," ")</f>
        <v xml:space="preserve"> </v>
      </c>
      <c r="F801" s="312"/>
      <c r="G801" s="314"/>
      <c r="H801" s="315"/>
      <c r="I801" s="8"/>
      <c r="J801" s="8"/>
      <c r="K801" s="8"/>
      <c r="L801" s="8"/>
      <c r="M801" s="8"/>
      <c r="N801" s="8"/>
      <c r="O801" s="8"/>
      <c r="P801" s="8"/>
      <c r="Q801" s="8"/>
      <c r="R801" s="8"/>
      <c r="S801" s="8"/>
      <c r="T801" s="82"/>
    </row>
    <row r="802" spans="1:20" ht="13.5" customHeight="1" x14ac:dyDescent="0.25">
      <c r="A802" s="307">
        <v>9</v>
      </c>
      <c r="B802" s="307"/>
      <c r="C802" s="170"/>
      <c r="D802" s="309"/>
      <c r="E802" s="170"/>
      <c r="F802" s="311"/>
      <c r="G802" s="313"/>
      <c r="H802" s="315"/>
      <c r="I802" s="8"/>
      <c r="J802" s="8"/>
      <c r="K802" s="8"/>
      <c r="L802" s="8"/>
      <c r="M802" s="8"/>
      <c r="N802" s="8"/>
      <c r="O802" s="8"/>
      <c r="P802" s="8"/>
      <c r="Q802" s="8"/>
      <c r="R802" s="8"/>
      <c r="S802" s="8"/>
      <c r="T802" s="82"/>
    </row>
    <row r="803" spans="1:20" ht="13.5" customHeight="1" x14ac:dyDescent="0.25">
      <c r="A803" s="308"/>
      <c r="B803" s="308"/>
      <c r="C803" s="171" t="str">
        <f>IFERROR(VLOOKUP(C802,Списки!$E:$F,2,0)," ")</f>
        <v xml:space="preserve"> </v>
      </c>
      <c r="D803" s="310"/>
      <c r="E803" s="171" t="str">
        <f>IFERROR(VLOOKUP(E802,Списки!$E:$F,2,0)," ")</f>
        <v xml:space="preserve"> </v>
      </c>
      <c r="F803" s="312"/>
      <c r="G803" s="314"/>
      <c r="H803" s="315"/>
      <c r="I803" s="8"/>
      <c r="J803" s="8"/>
      <c r="K803" s="8"/>
      <c r="L803" s="8"/>
      <c r="M803" s="8"/>
      <c r="N803" s="8"/>
      <c r="O803" s="8"/>
      <c r="P803" s="8"/>
      <c r="Q803" s="8"/>
      <c r="R803" s="8"/>
      <c r="S803" s="8"/>
      <c r="T803" s="82"/>
    </row>
    <row r="804" spans="1:20" ht="13.5" customHeight="1" x14ac:dyDescent="0.25">
      <c r="A804" s="307">
        <v>10</v>
      </c>
      <c r="B804" s="307"/>
      <c r="C804" s="170"/>
      <c r="D804" s="309"/>
      <c r="E804" s="170"/>
      <c r="F804" s="311"/>
      <c r="G804" s="313"/>
      <c r="H804" s="315"/>
      <c r="I804" s="8"/>
      <c r="J804" s="8"/>
      <c r="K804" s="8"/>
      <c r="L804" s="8"/>
      <c r="M804" s="8"/>
      <c r="N804" s="8"/>
      <c r="O804" s="8"/>
      <c r="P804" s="8"/>
      <c r="Q804" s="8"/>
      <c r="R804" s="8"/>
      <c r="S804" s="8"/>
      <c r="T804" s="82"/>
    </row>
    <row r="805" spans="1:20" ht="13.5" customHeight="1" x14ac:dyDescent="0.25">
      <c r="A805" s="308"/>
      <c r="B805" s="308"/>
      <c r="C805" s="171" t="str">
        <f>IFERROR(VLOOKUP(C804,Списки!$E:$F,2,0)," ")</f>
        <v xml:space="preserve"> </v>
      </c>
      <c r="D805" s="310"/>
      <c r="E805" s="171" t="str">
        <f>IFERROR(VLOOKUP(E804,Списки!$E:$F,2,0)," ")</f>
        <v xml:space="preserve"> </v>
      </c>
      <c r="F805" s="312"/>
      <c r="G805" s="314"/>
      <c r="H805" s="315"/>
      <c r="I805" s="8"/>
      <c r="J805" s="8"/>
      <c r="K805" s="8"/>
      <c r="L805" s="8"/>
      <c r="M805" s="8"/>
      <c r="N805" s="8"/>
      <c r="O805" s="8"/>
      <c r="P805" s="8"/>
      <c r="Q805" s="8"/>
      <c r="R805" s="8"/>
      <c r="S805" s="8"/>
      <c r="T805" s="82"/>
    </row>
    <row r="806" spans="1:20" ht="13.5" customHeight="1" x14ac:dyDescent="0.25">
      <c r="A806" s="307">
        <v>11</v>
      </c>
      <c r="B806" s="307"/>
      <c r="C806" s="170"/>
      <c r="D806" s="309"/>
      <c r="E806" s="170"/>
      <c r="F806" s="311"/>
      <c r="G806" s="313"/>
      <c r="H806" s="315"/>
      <c r="I806" s="8"/>
      <c r="J806" s="8"/>
      <c r="K806" s="8"/>
      <c r="L806" s="8"/>
      <c r="M806" s="8"/>
      <c r="N806" s="8"/>
      <c r="O806" s="8"/>
      <c r="P806" s="8"/>
      <c r="Q806" s="8"/>
      <c r="R806" s="8"/>
      <c r="S806" s="8"/>
      <c r="T806" s="82"/>
    </row>
    <row r="807" spans="1:20" ht="13.5" customHeight="1" x14ac:dyDescent="0.25">
      <c r="A807" s="308"/>
      <c r="B807" s="308"/>
      <c r="C807" s="171" t="str">
        <f>IFERROR(VLOOKUP(C806,Списки!$E:$F,2,0)," ")</f>
        <v xml:space="preserve"> </v>
      </c>
      <c r="D807" s="310"/>
      <c r="E807" s="171" t="str">
        <f>IFERROR(VLOOKUP(E806,Списки!$E:$F,2,0)," ")</f>
        <v xml:space="preserve"> </v>
      </c>
      <c r="F807" s="312"/>
      <c r="G807" s="314"/>
      <c r="H807" s="315"/>
      <c r="I807" s="8"/>
      <c r="J807" s="8"/>
      <c r="K807" s="8"/>
      <c r="L807" s="8"/>
      <c r="M807" s="8"/>
      <c r="N807" s="8"/>
      <c r="O807" s="8"/>
      <c r="P807" s="8"/>
      <c r="Q807" s="8"/>
      <c r="R807" s="8"/>
      <c r="S807" s="8"/>
      <c r="T807" s="82"/>
    </row>
    <row r="808" spans="1:20" ht="13.5" customHeight="1" x14ac:dyDescent="0.25">
      <c r="A808" s="307">
        <v>12</v>
      </c>
      <c r="B808" s="307"/>
      <c r="C808" s="170"/>
      <c r="D808" s="309"/>
      <c r="E808" s="170"/>
      <c r="F808" s="311"/>
      <c r="G808" s="313"/>
      <c r="H808" s="315"/>
      <c r="I808" s="8"/>
      <c r="J808" s="8"/>
      <c r="K808" s="8"/>
      <c r="L808" s="8"/>
      <c r="M808" s="8"/>
      <c r="N808" s="8"/>
      <c r="O808" s="8"/>
      <c r="P808" s="8"/>
      <c r="Q808" s="8"/>
      <c r="R808" s="8"/>
      <c r="S808" s="8"/>
      <c r="T808" s="82"/>
    </row>
    <row r="809" spans="1:20" ht="13.5" customHeight="1" x14ac:dyDescent="0.25">
      <c r="A809" s="308"/>
      <c r="B809" s="308"/>
      <c r="C809" s="171" t="str">
        <f>IFERROR(VLOOKUP(C808,Списки!$E:$F,2,0)," ")</f>
        <v xml:space="preserve"> </v>
      </c>
      <c r="D809" s="310"/>
      <c r="E809" s="171" t="str">
        <f>IFERROR(VLOOKUP(E808,Списки!$E:$F,2,0)," ")</f>
        <v xml:space="preserve"> </v>
      </c>
      <c r="F809" s="312"/>
      <c r="G809" s="314"/>
      <c r="H809" s="315"/>
      <c r="I809" s="8"/>
      <c r="J809" s="8"/>
      <c r="K809" s="8"/>
      <c r="L809" s="8"/>
      <c r="M809" s="8"/>
      <c r="N809" s="8"/>
      <c r="O809" s="8"/>
      <c r="P809" s="8"/>
      <c r="Q809" s="8"/>
      <c r="R809" s="8"/>
      <c r="S809" s="8"/>
      <c r="T809" s="82"/>
    </row>
    <row r="810" spans="1:20" ht="13.5" customHeight="1" x14ac:dyDescent="0.25">
      <c r="A810" s="307">
        <v>13</v>
      </c>
      <c r="B810" s="307"/>
      <c r="C810" s="170"/>
      <c r="D810" s="309"/>
      <c r="E810" s="170"/>
      <c r="F810" s="311"/>
      <c r="G810" s="313"/>
      <c r="H810" s="315"/>
      <c r="I810" s="8"/>
      <c r="J810" s="8"/>
      <c r="K810" s="8"/>
      <c r="L810" s="8"/>
      <c r="M810" s="8"/>
      <c r="N810" s="8"/>
      <c r="O810" s="8"/>
      <c r="P810" s="8"/>
      <c r="Q810" s="8"/>
      <c r="R810" s="8"/>
      <c r="S810" s="8"/>
      <c r="T810" s="82"/>
    </row>
    <row r="811" spans="1:20" ht="13.5" customHeight="1" x14ac:dyDescent="0.25">
      <c r="A811" s="308"/>
      <c r="B811" s="308"/>
      <c r="C811" s="171" t="str">
        <f>IFERROR(VLOOKUP(C810,Списки!$E:$F,2,0)," ")</f>
        <v xml:space="preserve"> </v>
      </c>
      <c r="D811" s="310"/>
      <c r="E811" s="171" t="str">
        <f>IFERROR(VLOOKUP(E810,Списки!$E:$F,2,0)," ")</f>
        <v xml:space="preserve"> </v>
      </c>
      <c r="F811" s="312"/>
      <c r="G811" s="314"/>
      <c r="H811" s="315"/>
      <c r="I811" s="8"/>
      <c r="J811" s="8"/>
      <c r="K811" s="8"/>
      <c r="L811" s="8"/>
      <c r="M811" s="8"/>
      <c r="N811" s="8"/>
      <c r="O811" s="8"/>
      <c r="P811" s="8"/>
      <c r="Q811" s="8"/>
      <c r="R811" s="8"/>
      <c r="S811" s="8"/>
      <c r="T811" s="82"/>
    </row>
    <row r="812" spans="1:20" ht="13.5" customHeight="1" x14ac:dyDescent="0.25">
      <c r="A812" s="307">
        <v>14</v>
      </c>
      <c r="B812" s="307"/>
      <c r="C812" s="170"/>
      <c r="D812" s="309"/>
      <c r="E812" s="170"/>
      <c r="F812" s="311"/>
      <c r="G812" s="313"/>
      <c r="H812" s="315"/>
      <c r="I812" s="8"/>
      <c r="J812" s="8"/>
      <c r="K812" s="8"/>
      <c r="L812" s="8"/>
      <c r="M812" s="8"/>
      <c r="N812" s="8"/>
      <c r="O812" s="8"/>
      <c r="P812" s="8"/>
      <c r="Q812" s="8"/>
      <c r="R812" s="8"/>
      <c r="S812" s="8"/>
      <c r="T812" s="82"/>
    </row>
    <row r="813" spans="1:20" ht="13.5" customHeight="1" x14ac:dyDescent="0.25">
      <c r="A813" s="308"/>
      <c r="B813" s="308"/>
      <c r="C813" s="171" t="str">
        <f>IFERROR(VLOOKUP(C812,Списки!$E:$F,2,0)," ")</f>
        <v xml:space="preserve"> </v>
      </c>
      <c r="D813" s="310"/>
      <c r="E813" s="171" t="str">
        <f>IFERROR(VLOOKUP(E812,Списки!$E:$F,2,0)," ")</f>
        <v xml:space="preserve"> </v>
      </c>
      <c r="F813" s="312"/>
      <c r="G813" s="314"/>
      <c r="H813" s="315"/>
      <c r="I813" s="8"/>
      <c r="J813" s="8"/>
      <c r="K813" s="8"/>
      <c r="L813" s="8"/>
      <c r="M813" s="8"/>
      <c r="N813" s="8"/>
      <c r="O813" s="8"/>
      <c r="P813" s="8"/>
      <c r="Q813" s="8"/>
      <c r="R813" s="8"/>
      <c r="S813" s="8"/>
      <c r="T813" s="82"/>
    </row>
    <row r="814" spans="1:20" ht="13.5" customHeight="1" x14ac:dyDescent="0.25">
      <c r="A814" s="307">
        <v>15</v>
      </c>
      <c r="B814" s="307"/>
      <c r="C814" s="170"/>
      <c r="D814" s="309"/>
      <c r="E814" s="170"/>
      <c r="F814" s="311"/>
      <c r="G814" s="313"/>
      <c r="H814" s="315"/>
      <c r="I814" s="8"/>
      <c r="J814" s="8"/>
      <c r="K814" s="8"/>
      <c r="L814" s="8"/>
      <c r="M814" s="8"/>
      <c r="N814" s="8"/>
      <c r="O814" s="8"/>
      <c r="P814" s="8"/>
      <c r="Q814" s="8"/>
      <c r="R814" s="8"/>
      <c r="S814" s="8"/>
      <c r="T814" s="82"/>
    </row>
    <row r="815" spans="1:20" ht="13.5" customHeight="1" x14ac:dyDescent="0.25">
      <c r="A815" s="308"/>
      <c r="B815" s="308"/>
      <c r="C815" s="171" t="str">
        <f>IFERROR(VLOOKUP(C814,Списки!$E:$F,2,0)," ")</f>
        <v xml:space="preserve"> </v>
      </c>
      <c r="D815" s="310"/>
      <c r="E815" s="171" t="str">
        <f>IFERROR(VLOOKUP(E814,Списки!$E:$F,2,0)," ")</f>
        <v xml:space="preserve"> </v>
      </c>
      <c r="F815" s="312"/>
      <c r="G815" s="314"/>
      <c r="H815" s="315"/>
      <c r="I815" s="8"/>
      <c r="J815" s="8"/>
      <c r="K815" s="8"/>
      <c r="L815" s="8"/>
      <c r="M815" s="8"/>
      <c r="N815" s="8"/>
      <c r="O815" s="8"/>
      <c r="P815" s="8"/>
      <c r="Q815" s="8"/>
      <c r="R815" s="8"/>
      <c r="S815" s="8"/>
      <c r="T815" s="82"/>
    </row>
    <row r="816" spans="1:20" x14ac:dyDescent="0.25">
      <c r="A816" s="36"/>
      <c r="B816" s="37"/>
      <c r="C816" s="173"/>
      <c r="D816" s="173"/>
      <c r="E816" s="174" t="s">
        <v>30</v>
      </c>
      <c r="F816" s="39">
        <f>IFERROR(SUM(IFERROR(IF((LOOKUP(9E+307,F786:F815))&gt;$M$39,(LOOKUP(9E+307,F786:F815))-$M$39,IF((LOOKUP(9E+307,F786:F815))&lt;0.166666667,0+(LOOKUP(9E+307,F786:F815))+1-$M$39,0)),0),(IF(AND(IF(D786,$M$38-D786,0)&gt;0,F786,F786&gt;D786),$M$38-D786,IF(AND(D786,F786,D786&gt;F786),"error",0)))),"ОШИБКА")</f>
        <v>0</v>
      </c>
      <c r="G816" s="40" t="s">
        <v>27</v>
      </c>
      <c r="H816" s="38">
        <f>SUM(H786:H815)</f>
        <v>0</v>
      </c>
      <c r="I816" s="8"/>
      <c r="J816" s="8"/>
      <c r="K816" s="8"/>
      <c r="L816" s="8"/>
      <c r="M816" s="8"/>
      <c r="N816" s="8"/>
      <c r="O816" s="8"/>
      <c r="P816" s="8"/>
      <c r="Q816" s="8"/>
      <c r="R816" s="8"/>
      <c r="S816" s="8"/>
      <c r="T816" s="82"/>
    </row>
    <row r="817" spans="1:20" ht="15.75" x14ac:dyDescent="0.25">
      <c r="A817" s="316">
        <f>DATE(K1,J1,25)</f>
        <v>43855</v>
      </c>
      <c r="B817" s="316"/>
      <c r="C817" s="316"/>
      <c r="D817" s="316"/>
      <c r="E817" s="316"/>
      <c r="F817" s="316"/>
      <c r="G817" s="316"/>
      <c r="H817" s="316"/>
      <c r="I817" s="8"/>
      <c r="J817" s="8"/>
      <c r="K817" s="8"/>
      <c r="L817" s="8"/>
      <c r="M817" s="8"/>
      <c r="N817" s="8"/>
      <c r="O817" s="8"/>
      <c r="P817" s="8"/>
      <c r="Q817" s="8"/>
      <c r="R817" s="8"/>
      <c r="S817" s="8"/>
      <c r="T817" s="82"/>
    </row>
    <row r="818" spans="1:20" ht="13.5" customHeight="1" x14ac:dyDescent="0.25">
      <c r="A818" s="318"/>
      <c r="B818" s="320" t="s">
        <v>34</v>
      </c>
      <c r="C818" s="175" t="s">
        <v>39</v>
      </c>
      <c r="D818" s="322" t="s">
        <v>36</v>
      </c>
      <c r="E818" s="175" t="s">
        <v>37</v>
      </c>
      <c r="F818" s="320" t="s">
        <v>36</v>
      </c>
      <c r="G818" s="324" t="s">
        <v>35</v>
      </c>
      <c r="H818" s="315" t="s">
        <v>40</v>
      </c>
      <c r="I818" s="8"/>
      <c r="J818" s="8"/>
      <c r="K818" s="8"/>
      <c r="L818" s="8"/>
      <c r="M818" s="8"/>
      <c r="N818" s="8"/>
      <c r="O818" s="8"/>
      <c r="P818" s="8"/>
      <c r="Q818" s="8"/>
      <c r="R818" s="8"/>
      <c r="S818" s="8"/>
      <c r="T818" s="82"/>
    </row>
    <row r="819" spans="1:20" ht="13.5" customHeight="1" x14ac:dyDescent="0.25">
      <c r="A819" s="319"/>
      <c r="B819" s="321"/>
      <c r="C819" s="169" t="s">
        <v>38</v>
      </c>
      <c r="D819" s="323"/>
      <c r="E819" s="169" t="s">
        <v>38</v>
      </c>
      <c r="F819" s="321"/>
      <c r="G819" s="325"/>
      <c r="H819" s="315"/>
      <c r="I819" s="8"/>
      <c r="J819" s="8"/>
      <c r="K819" s="8"/>
      <c r="L819" s="8"/>
      <c r="M819" s="8"/>
      <c r="N819" s="8"/>
      <c r="O819" s="8"/>
      <c r="P819" s="8"/>
      <c r="Q819" s="8"/>
      <c r="R819" s="8"/>
      <c r="S819" s="8"/>
      <c r="T819" s="82"/>
    </row>
    <row r="820" spans="1:20" ht="13.5" customHeight="1" x14ac:dyDescent="0.25">
      <c r="A820" s="307">
        <v>1</v>
      </c>
      <c r="B820" s="307"/>
      <c r="C820" s="170" t="s">
        <v>43</v>
      </c>
      <c r="D820" s="309"/>
      <c r="E820" s="170" t="s">
        <v>44</v>
      </c>
      <c r="F820" s="311"/>
      <c r="G820" s="313"/>
      <c r="H820" s="315"/>
      <c r="I820" s="8"/>
      <c r="J820" s="8"/>
      <c r="K820" s="8"/>
      <c r="L820" s="8"/>
      <c r="M820" s="8"/>
      <c r="N820" s="8"/>
      <c r="O820" s="8"/>
      <c r="P820" s="8"/>
      <c r="Q820" s="8"/>
      <c r="R820" s="8"/>
      <c r="S820" s="8"/>
      <c r="T820" s="82"/>
    </row>
    <row r="821" spans="1:20" ht="13.5" customHeight="1" x14ac:dyDescent="0.25">
      <c r="A821" s="308"/>
      <c r="B821" s="308"/>
      <c r="C821" s="171" t="str">
        <f>IFERROR(VLOOKUP(C820,Списки!$E:$F,2,0)," ")</f>
        <v>SAVUSHKINA ST 128</v>
      </c>
      <c r="D821" s="310"/>
      <c r="E821" s="171" t="str">
        <f>IFERROR(VLOOKUP(E820,Списки!$E:$F,2,0)," ")</f>
        <v>LEVASHOVSKOE HWY 20</v>
      </c>
      <c r="F821" s="312"/>
      <c r="G821" s="314"/>
      <c r="H821" s="315"/>
      <c r="I821" s="8"/>
      <c r="J821" s="8"/>
      <c r="K821" s="8"/>
      <c r="L821" s="8"/>
      <c r="M821" s="8"/>
      <c r="N821" s="8"/>
      <c r="O821" s="8"/>
      <c r="P821" s="8"/>
      <c r="Q821" s="8"/>
      <c r="R821" s="8"/>
      <c r="S821" s="8"/>
      <c r="T821" s="82"/>
    </row>
    <row r="822" spans="1:20" ht="13.5" customHeight="1" x14ac:dyDescent="0.25">
      <c r="A822" s="307">
        <v>2</v>
      </c>
      <c r="B822" s="307"/>
      <c r="C822" s="170" t="s">
        <v>44</v>
      </c>
      <c r="D822" s="309"/>
      <c r="E822" s="170"/>
      <c r="F822" s="311"/>
      <c r="G822" s="313"/>
      <c r="H822" s="315"/>
      <c r="I822" s="8"/>
      <c r="J822" s="8"/>
      <c r="K822" s="8"/>
      <c r="L822" s="8"/>
      <c r="M822" s="8"/>
      <c r="N822" s="8"/>
      <c r="O822" s="8"/>
      <c r="P822" s="8"/>
      <c r="Q822" s="8"/>
      <c r="R822" s="8"/>
      <c r="S822" s="8"/>
      <c r="T822" s="82"/>
    </row>
    <row r="823" spans="1:20" ht="13.5" customHeight="1" x14ac:dyDescent="0.25">
      <c r="A823" s="308"/>
      <c r="B823" s="308"/>
      <c r="C823" s="171" t="str">
        <f>IFERROR(VLOOKUP(C822,Списки!$E:$F,2,0)," ")</f>
        <v>LEVASHOVSKOE HWY 20</v>
      </c>
      <c r="D823" s="310"/>
      <c r="E823" s="171" t="str">
        <f>IFERROR(VLOOKUP(E822,Списки!$E:$F,2,0)," ")</f>
        <v xml:space="preserve"> </v>
      </c>
      <c r="F823" s="312"/>
      <c r="G823" s="314"/>
      <c r="H823" s="315"/>
      <c r="I823" s="8"/>
      <c r="J823" s="8"/>
      <c r="K823" s="8"/>
      <c r="L823" s="8"/>
      <c r="M823" s="8"/>
      <c r="N823" s="8"/>
      <c r="O823" s="8"/>
      <c r="P823" s="8"/>
      <c r="Q823" s="8"/>
      <c r="R823" s="8"/>
      <c r="S823" s="8"/>
      <c r="T823" s="82"/>
    </row>
    <row r="824" spans="1:20" ht="13.5" customHeight="1" x14ac:dyDescent="0.25">
      <c r="A824" s="307">
        <v>3</v>
      </c>
      <c r="B824" s="307"/>
      <c r="C824" s="170"/>
      <c r="D824" s="309"/>
      <c r="E824" s="170"/>
      <c r="F824" s="311"/>
      <c r="G824" s="313"/>
      <c r="H824" s="315"/>
      <c r="I824" s="8"/>
      <c r="J824" s="8"/>
      <c r="K824" s="8"/>
      <c r="L824" s="8"/>
      <c r="M824" s="8"/>
      <c r="N824" s="8"/>
      <c r="O824" s="8"/>
      <c r="P824" s="8"/>
      <c r="Q824" s="8"/>
      <c r="R824" s="8"/>
      <c r="S824" s="8"/>
      <c r="T824" s="82"/>
    </row>
    <row r="825" spans="1:20" ht="13.5" customHeight="1" x14ac:dyDescent="0.25">
      <c r="A825" s="308"/>
      <c r="B825" s="308"/>
      <c r="C825" s="171" t="str">
        <f>IFERROR(VLOOKUP(C824,Списки!$E:$F,2,0)," ")</f>
        <v xml:space="preserve"> </v>
      </c>
      <c r="D825" s="310"/>
      <c r="E825" s="171" t="str">
        <f>IFERROR(VLOOKUP(E824,Списки!$E:$F,2,0)," ")</f>
        <v xml:space="preserve"> </v>
      </c>
      <c r="F825" s="312"/>
      <c r="G825" s="314"/>
      <c r="H825" s="315"/>
      <c r="I825" s="8"/>
      <c r="J825" s="8"/>
      <c r="K825" s="8"/>
      <c r="L825" s="8"/>
      <c r="M825" s="8"/>
      <c r="N825" s="8"/>
      <c r="O825" s="8"/>
      <c r="P825" s="8"/>
      <c r="Q825" s="8"/>
      <c r="R825" s="8"/>
      <c r="S825" s="8"/>
      <c r="T825" s="82"/>
    </row>
    <row r="826" spans="1:20" ht="13.5" customHeight="1" x14ac:dyDescent="0.25">
      <c r="A826" s="307">
        <v>4</v>
      </c>
      <c r="B826" s="307"/>
      <c r="C826" s="170"/>
      <c r="D826" s="309"/>
      <c r="E826" s="170"/>
      <c r="F826" s="311"/>
      <c r="G826" s="313"/>
      <c r="H826" s="315"/>
      <c r="I826" s="8"/>
      <c r="J826" s="8"/>
      <c r="K826" s="8"/>
      <c r="L826" s="8"/>
      <c r="M826" s="8"/>
      <c r="N826" s="8"/>
      <c r="O826" s="8"/>
      <c r="P826" s="8"/>
      <c r="Q826" s="8"/>
      <c r="R826" s="8"/>
      <c r="S826" s="8"/>
      <c r="T826" s="82"/>
    </row>
    <row r="827" spans="1:20" ht="13.5" customHeight="1" x14ac:dyDescent="0.25">
      <c r="A827" s="308"/>
      <c r="B827" s="308"/>
      <c r="C827" s="171" t="str">
        <f>IFERROR(VLOOKUP(C826,Списки!$E:$F,2,0)," ")</f>
        <v xml:space="preserve"> </v>
      </c>
      <c r="D827" s="310"/>
      <c r="E827" s="171" t="str">
        <f>IFERROR(VLOOKUP(E826,Списки!$E:$F,2,0)," ")</f>
        <v xml:space="preserve"> </v>
      </c>
      <c r="F827" s="312"/>
      <c r="G827" s="314"/>
      <c r="H827" s="315"/>
      <c r="I827" s="8"/>
      <c r="J827" s="8"/>
      <c r="K827" s="8"/>
      <c r="L827" s="8"/>
      <c r="M827" s="8"/>
      <c r="N827" s="8"/>
      <c r="O827" s="8"/>
      <c r="P827" s="8"/>
      <c r="Q827" s="8"/>
      <c r="R827" s="8"/>
      <c r="S827" s="8"/>
      <c r="T827" s="82"/>
    </row>
    <row r="828" spans="1:20" ht="13.5" customHeight="1" x14ac:dyDescent="0.25">
      <c r="A828" s="307">
        <v>5</v>
      </c>
      <c r="B828" s="307"/>
      <c r="C828" s="170"/>
      <c r="D828" s="309"/>
      <c r="E828" s="172"/>
      <c r="F828" s="311"/>
      <c r="G828" s="313"/>
      <c r="H828" s="315"/>
      <c r="I828" s="8"/>
      <c r="J828" s="8"/>
      <c r="K828" s="8"/>
      <c r="L828" s="8"/>
      <c r="M828" s="8"/>
      <c r="N828" s="8"/>
      <c r="O828" s="8"/>
      <c r="P828" s="8"/>
      <c r="Q828" s="8"/>
      <c r="R828" s="8"/>
      <c r="S828" s="8"/>
      <c r="T828" s="82"/>
    </row>
    <row r="829" spans="1:20" ht="13.5" customHeight="1" x14ac:dyDescent="0.25">
      <c r="A829" s="308"/>
      <c r="B829" s="308"/>
      <c r="C829" s="171" t="str">
        <f>IFERROR(VLOOKUP(C828,Списки!$E:$F,2,0)," ")</f>
        <v xml:space="preserve"> </v>
      </c>
      <c r="D829" s="310"/>
      <c r="E829" s="172" t="str">
        <f>IFERROR(VLOOKUP(E828,Списки!$E:$F,2,0)," ")</f>
        <v xml:space="preserve"> </v>
      </c>
      <c r="F829" s="312"/>
      <c r="G829" s="314"/>
      <c r="H829" s="315"/>
      <c r="I829" s="8"/>
      <c r="J829" s="8"/>
      <c r="K829" s="8"/>
      <c r="L829" s="8"/>
      <c r="M829" s="8"/>
      <c r="N829" s="8"/>
      <c r="O829" s="8"/>
      <c r="P829" s="8"/>
      <c r="Q829" s="8"/>
      <c r="R829" s="8"/>
      <c r="S829" s="8"/>
      <c r="T829" s="82"/>
    </row>
    <row r="830" spans="1:20" ht="13.5" customHeight="1" x14ac:dyDescent="0.25">
      <c r="A830" s="307">
        <v>6</v>
      </c>
      <c r="B830" s="307"/>
      <c r="C830" s="170"/>
      <c r="D830" s="309"/>
      <c r="E830" s="170"/>
      <c r="F830" s="311"/>
      <c r="G830" s="313"/>
      <c r="H830" s="315"/>
      <c r="I830" s="8"/>
      <c r="J830" s="8"/>
      <c r="K830" s="8"/>
      <c r="L830" s="8"/>
      <c r="M830" s="8"/>
      <c r="N830" s="8"/>
      <c r="O830" s="8"/>
      <c r="P830" s="8"/>
      <c r="Q830" s="8"/>
      <c r="R830" s="8"/>
      <c r="S830" s="8"/>
      <c r="T830" s="82"/>
    </row>
    <row r="831" spans="1:20" ht="13.5" customHeight="1" x14ac:dyDescent="0.25">
      <c r="A831" s="308"/>
      <c r="B831" s="308"/>
      <c r="C831" s="171" t="str">
        <f>IFERROR(VLOOKUP(C830,Списки!$E:$F,2,0)," ")</f>
        <v xml:space="preserve"> </v>
      </c>
      <c r="D831" s="310"/>
      <c r="E831" s="179" t="str">
        <f>IFERROR(VLOOKUP(E830,Списки!$E:$F,2,0)," ")</f>
        <v xml:space="preserve"> </v>
      </c>
      <c r="F831" s="312"/>
      <c r="G831" s="314"/>
      <c r="H831" s="315"/>
      <c r="I831" s="8"/>
      <c r="J831" s="8"/>
      <c r="K831" s="8"/>
      <c r="L831" s="8"/>
      <c r="M831" s="8"/>
      <c r="N831" s="8"/>
      <c r="O831" s="8"/>
      <c r="P831" s="8"/>
      <c r="Q831" s="8"/>
      <c r="R831" s="8"/>
      <c r="S831" s="8"/>
      <c r="T831" s="82"/>
    </row>
    <row r="832" spans="1:20" ht="13.5" customHeight="1" x14ac:dyDescent="0.25">
      <c r="A832" s="307">
        <v>7</v>
      </c>
      <c r="B832" s="307"/>
      <c r="C832" s="170"/>
      <c r="D832" s="309"/>
      <c r="E832" s="170"/>
      <c r="F832" s="311"/>
      <c r="G832" s="313"/>
      <c r="H832" s="315"/>
      <c r="I832" s="8"/>
      <c r="J832" s="8"/>
      <c r="K832" s="8"/>
      <c r="L832" s="8"/>
      <c r="M832" s="8"/>
      <c r="N832" s="8"/>
      <c r="O832" s="8"/>
      <c r="P832" s="8"/>
      <c r="Q832" s="8"/>
      <c r="R832" s="8"/>
      <c r="S832" s="8"/>
      <c r="T832" s="82"/>
    </row>
    <row r="833" spans="1:20" ht="13.5" customHeight="1" x14ac:dyDescent="0.25">
      <c r="A833" s="308"/>
      <c r="B833" s="308"/>
      <c r="C833" s="179" t="str">
        <f>IFERROR(VLOOKUP(C832,Списки!$E:$F,2,0)," ")</f>
        <v xml:space="preserve"> </v>
      </c>
      <c r="D833" s="310"/>
      <c r="E833" s="171" t="str">
        <f>IFERROR(VLOOKUP(E832,Списки!$E:$F,2,0)," ")</f>
        <v xml:space="preserve"> </v>
      </c>
      <c r="F833" s="312"/>
      <c r="G833" s="314"/>
      <c r="H833" s="315"/>
      <c r="I833" s="8"/>
      <c r="J833" s="8"/>
      <c r="K833" s="8"/>
      <c r="L833" s="8"/>
      <c r="M833" s="8"/>
      <c r="N833" s="8"/>
      <c r="O833" s="8"/>
      <c r="P833" s="8"/>
      <c r="Q833" s="8"/>
      <c r="R833" s="8"/>
      <c r="S833" s="8"/>
      <c r="T833" s="82"/>
    </row>
    <row r="834" spans="1:20" ht="13.5" customHeight="1" x14ac:dyDescent="0.25">
      <c r="A834" s="307">
        <v>8</v>
      </c>
      <c r="B834" s="307"/>
      <c r="C834" s="170"/>
      <c r="D834" s="309"/>
      <c r="E834" s="170"/>
      <c r="F834" s="311"/>
      <c r="G834" s="313"/>
      <c r="H834" s="315"/>
      <c r="I834" s="8"/>
      <c r="J834" s="8"/>
      <c r="K834" s="8"/>
      <c r="L834" s="8"/>
      <c r="M834" s="8"/>
      <c r="N834" s="8"/>
      <c r="O834" s="8"/>
      <c r="P834" s="8"/>
      <c r="Q834" s="8"/>
      <c r="R834" s="8"/>
      <c r="S834" s="8"/>
      <c r="T834" s="82"/>
    </row>
    <row r="835" spans="1:20" ht="13.5" customHeight="1" x14ac:dyDescent="0.25">
      <c r="A835" s="308"/>
      <c r="B835" s="308"/>
      <c r="C835" s="179" t="str">
        <f>IFERROR(VLOOKUP(C834,Списки!$E:$F,2,0)," ")</f>
        <v xml:space="preserve"> </v>
      </c>
      <c r="D835" s="310"/>
      <c r="E835" s="171" t="str">
        <f>IFERROR(VLOOKUP(E834,Списки!$E:$F,2,0)," ")</f>
        <v xml:space="preserve"> </v>
      </c>
      <c r="F835" s="312"/>
      <c r="G835" s="314"/>
      <c r="H835" s="315"/>
      <c r="I835" s="8"/>
      <c r="J835" s="8"/>
      <c r="K835" s="8"/>
      <c r="L835" s="8"/>
      <c r="M835" s="8"/>
      <c r="N835" s="8"/>
      <c r="O835" s="8"/>
      <c r="P835" s="8"/>
      <c r="Q835" s="8"/>
      <c r="R835" s="8"/>
      <c r="S835" s="8"/>
      <c r="T835" s="82"/>
    </row>
    <row r="836" spans="1:20" ht="13.5" customHeight="1" x14ac:dyDescent="0.25">
      <c r="A836" s="307">
        <v>9</v>
      </c>
      <c r="B836" s="307"/>
      <c r="C836" s="170"/>
      <c r="D836" s="309"/>
      <c r="E836" s="170"/>
      <c r="F836" s="311"/>
      <c r="G836" s="313"/>
      <c r="H836" s="315"/>
      <c r="I836" s="8"/>
      <c r="J836" s="8"/>
      <c r="K836" s="8"/>
      <c r="L836" s="8"/>
      <c r="M836" s="8"/>
      <c r="N836" s="8"/>
      <c r="O836" s="8"/>
      <c r="P836" s="8"/>
      <c r="Q836" s="8"/>
      <c r="R836" s="8"/>
      <c r="S836" s="8"/>
      <c r="T836" s="82"/>
    </row>
    <row r="837" spans="1:20" ht="13.5" customHeight="1" x14ac:dyDescent="0.25">
      <c r="A837" s="308"/>
      <c r="B837" s="308"/>
      <c r="C837" s="171" t="str">
        <f>IFERROR(VLOOKUP(C836,Списки!$E:$F,2,0)," ")</f>
        <v xml:space="preserve"> </v>
      </c>
      <c r="D837" s="310"/>
      <c r="E837" s="171" t="str">
        <f>IFERROR(VLOOKUP(E836,Списки!$E:$F,2,0)," ")</f>
        <v xml:space="preserve"> </v>
      </c>
      <c r="F837" s="312"/>
      <c r="G837" s="314"/>
      <c r="H837" s="315"/>
      <c r="I837" s="8"/>
      <c r="J837" s="8"/>
      <c r="K837" s="8"/>
      <c r="L837" s="8"/>
      <c r="M837" s="8"/>
      <c r="N837" s="8"/>
      <c r="O837" s="8"/>
      <c r="P837" s="8"/>
      <c r="Q837" s="8"/>
      <c r="R837" s="8"/>
      <c r="S837" s="8"/>
      <c r="T837" s="82"/>
    </row>
    <row r="838" spans="1:20" ht="13.5" customHeight="1" x14ac:dyDescent="0.25">
      <c r="A838" s="307">
        <v>10</v>
      </c>
      <c r="B838" s="307"/>
      <c r="C838" s="170"/>
      <c r="D838" s="309"/>
      <c r="E838" s="170"/>
      <c r="F838" s="311"/>
      <c r="G838" s="313"/>
      <c r="H838" s="315"/>
      <c r="I838" s="8"/>
      <c r="J838" s="8"/>
      <c r="K838" s="8"/>
      <c r="L838" s="8"/>
      <c r="M838" s="8"/>
      <c r="N838" s="8"/>
      <c r="O838" s="8"/>
      <c r="P838" s="8"/>
      <c r="Q838" s="8"/>
      <c r="R838" s="8"/>
      <c r="S838" s="8"/>
      <c r="T838" s="82"/>
    </row>
    <row r="839" spans="1:20" ht="13.5" customHeight="1" x14ac:dyDescent="0.25">
      <c r="A839" s="308"/>
      <c r="B839" s="308"/>
      <c r="C839" s="171" t="str">
        <f>IFERROR(VLOOKUP(C838,Списки!$E:$F,2,0)," ")</f>
        <v xml:space="preserve"> </v>
      </c>
      <c r="D839" s="310"/>
      <c r="E839" s="171" t="str">
        <f>IFERROR(VLOOKUP(E838,Списки!$E:$F,2,0)," ")</f>
        <v xml:space="preserve"> </v>
      </c>
      <c r="F839" s="312"/>
      <c r="G839" s="314"/>
      <c r="H839" s="315"/>
      <c r="I839" s="8"/>
      <c r="J839" s="8"/>
      <c r="K839" s="8"/>
      <c r="L839" s="8"/>
      <c r="M839" s="8"/>
      <c r="N839" s="8"/>
      <c r="O839" s="8"/>
      <c r="P839" s="8"/>
      <c r="Q839" s="8"/>
      <c r="R839" s="8"/>
      <c r="S839" s="8"/>
      <c r="T839" s="82"/>
    </row>
    <row r="840" spans="1:20" ht="13.5" customHeight="1" x14ac:dyDescent="0.25">
      <c r="A840" s="307">
        <v>11</v>
      </c>
      <c r="B840" s="307"/>
      <c r="C840" s="170"/>
      <c r="D840" s="309"/>
      <c r="E840" s="170"/>
      <c r="F840" s="311"/>
      <c r="G840" s="313"/>
      <c r="H840" s="315"/>
      <c r="I840" s="8"/>
      <c r="J840" s="8"/>
      <c r="K840" s="8"/>
      <c r="L840" s="8"/>
      <c r="M840" s="8"/>
      <c r="N840" s="8"/>
      <c r="O840" s="8"/>
      <c r="P840" s="8"/>
      <c r="Q840" s="8"/>
      <c r="R840" s="8"/>
      <c r="S840" s="8"/>
      <c r="T840" s="82"/>
    </row>
    <row r="841" spans="1:20" ht="13.5" customHeight="1" x14ac:dyDescent="0.25">
      <c r="A841" s="308"/>
      <c r="B841" s="308"/>
      <c r="C841" s="171" t="str">
        <f>IFERROR(VLOOKUP(C840,Списки!$E:$F,2,0)," ")</f>
        <v xml:space="preserve"> </v>
      </c>
      <c r="D841" s="310"/>
      <c r="E841" s="171" t="str">
        <f>IFERROR(VLOOKUP(E840,Списки!$E:$F,2,0)," ")</f>
        <v xml:space="preserve"> </v>
      </c>
      <c r="F841" s="312"/>
      <c r="G841" s="314"/>
      <c r="H841" s="315"/>
      <c r="I841" s="8"/>
      <c r="J841" s="8"/>
      <c r="K841" s="8"/>
      <c r="L841" s="8"/>
      <c r="M841" s="8"/>
      <c r="N841" s="8"/>
      <c r="O841" s="8"/>
      <c r="P841" s="8"/>
      <c r="Q841" s="8"/>
      <c r="R841" s="8"/>
      <c r="S841" s="8"/>
      <c r="T841" s="82"/>
    </row>
    <row r="842" spans="1:20" ht="13.5" customHeight="1" x14ac:dyDescent="0.25">
      <c r="A842" s="307">
        <v>12</v>
      </c>
      <c r="B842" s="307"/>
      <c r="C842" s="170"/>
      <c r="D842" s="309"/>
      <c r="E842" s="170"/>
      <c r="F842" s="311"/>
      <c r="G842" s="313"/>
      <c r="H842" s="315"/>
      <c r="I842" s="8"/>
      <c r="J842" s="8"/>
      <c r="K842" s="8"/>
      <c r="L842" s="8"/>
      <c r="M842" s="8"/>
      <c r="N842" s="8"/>
      <c r="O842" s="8"/>
      <c r="P842" s="8"/>
      <c r="Q842" s="8"/>
      <c r="R842" s="8"/>
      <c r="S842" s="8"/>
      <c r="T842" s="82"/>
    </row>
    <row r="843" spans="1:20" ht="13.5" customHeight="1" x14ac:dyDescent="0.25">
      <c r="A843" s="308"/>
      <c r="B843" s="308"/>
      <c r="C843" s="171" t="str">
        <f>IFERROR(VLOOKUP(C842,Списки!$E:$F,2,0)," ")</f>
        <v xml:space="preserve"> </v>
      </c>
      <c r="D843" s="310"/>
      <c r="E843" s="171" t="str">
        <f>IFERROR(VLOOKUP(E842,Списки!$E:$F,2,0)," ")</f>
        <v xml:space="preserve"> </v>
      </c>
      <c r="F843" s="312"/>
      <c r="G843" s="314"/>
      <c r="H843" s="315"/>
      <c r="I843" s="8"/>
      <c r="J843" s="8"/>
      <c r="K843" s="8"/>
      <c r="L843" s="8"/>
      <c r="M843" s="8"/>
      <c r="N843" s="8"/>
      <c r="O843" s="8"/>
      <c r="P843" s="8"/>
      <c r="Q843" s="8"/>
      <c r="R843" s="8"/>
      <c r="S843" s="8"/>
      <c r="T843" s="82"/>
    </row>
    <row r="844" spans="1:20" ht="13.5" customHeight="1" x14ac:dyDescent="0.25">
      <c r="A844" s="307">
        <v>13</v>
      </c>
      <c r="B844" s="307"/>
      <c r="C844" s="170"/>
      <c r="D844" s="309"/>
      <c r="E844" s="170"/>
      <c r="F844" s="311"/>
      <c r="G844" s="313"/>
      <c r="H844" s="315"/>
      <c r="I844" s="8"/>
      <c r="J844" s="8"/>
      <c r="K844" s="8"/>
      <c r="L844" s="8"/>
      <c r="M844" s="8"/>
      <c r="N844" s="8"/>
      <c r="O844" s="8"/>
      <c r="P844" s="8"/>
      <c r="Q844" s="8"/>
      <c r="R844" s="8"/>
      <c r="S844" s="8"/>
      <c r="T844" s="82"/>
    </row>
    <row r="845" spans="1:20" ht="13.5" customHeight="1" x14ac:dyDescent="0.25">
      <c r="A845" s="308"/>
      <c r="B845" s="308"/>
      <c r="C845" s="171" t="str">
        <f>IFERROR(VLOOKUP(C844,Списки!$E:$F,2,0)," ")</f>
        <v xml:space="preserve"> </v>
      </c>
      <c r="D845" s="310"/>
      <c r="E845" s="171" t="str">
        <f>IFERROR(VLOOKUP(E844,Списки!$E:$F,2,0)," ")</f>
        <v xml:space="preserve"> </v>
      </c>
      <c r="F845" s="312"/>
      <c r="G845" s="314"/>
      <c r="H845" s="315"/>
      <c r="I845" s="8"/>
      <c r="J845" s="8"/>
      <c r="K845" s="8"/>
      <c r="L845" s="8"/>
      <c r="M845" s="8"/>
      <c r="N845" s="8"/>
      <c r="O845" s="8"/>
      <c r="P845" s="8"/>
      <c r="Q845" s="8"/>
      <c r="R845" s="8"/>
      <c r="S845" s="8"/>
      <c r="T845" s="82"/>
    </row>
    <row r="846" spans="1:20" ht="13.5" customHeight="1" x14ac:dyDescent="0.25">
      <c r="A846" s="307">
        <v>14</v>
      </c>
      <c r="B846" s="307"/>
      <c r="C846" s="170"/>
      <c r="D846" s="309"/>
      <c r="E846" s="170"/>
      <c r="F846" s="311"/>
      <c r="G846" s="313"/>
      <c r="H846" s="315"/>
      <c r="I846" s="8"/>
      <c r="J846" s="8"/>
      <c r="K846" s="8"/>
      <c r="L846" s="8"/>
      <c r="M846" s="8"/>
      <c r="N846" s="8"/>
      <c r="O846" s="8"/>
      <c r="P846" s="8"/>
      <c r="Q846" s="8"/>
      <c r="R846" s="8"/>
      <c r="S846" s="8"/>
      <c r="T846" s="82"/>
    </row>
    <row r="847" spans="1:20" ht="13.5" customHeight="1" x14ac:dyDescent="0.25">
      <c r="A847" s="308"/>
      <c r="B847" s="308"/>
      <c r="C847" s="171" t="str">
        <f>IFERROR(VLOOKUP(C846,Списки!$E:$F,2,0)," ")</f>
        <v xml:space="preserve"> </v>
      </c>
      <c r="D847" s="310"/>
      <c r="E847" s="171" t="str">
        <f>IFERROR(VLOOKUP(E846,Списки!$E:$F,2,0)," ")</f>
        <v xml:space="preserve"> </v>
      </c>
      <c r="F847" s="312"/>
      <c r="G847" s="314"/>
      <c r="H847" s="315"/>
      <c r="I847" s="8"/>
      <c r="J847" s="8"/>
      <c r="K847" s="8"/>
      <c r="L847" s="8"/>
      <c r="M847" s="8"/>
      <c r="N847" s="8"/>
      <c r="O847" s="8"/>
      <c r="P847" s="8"/>
      <c r="Q847" s="8"/>
      <c r="R847" s="8"/>
      <c r="S847" s="8"/>
      <c r="T847" s="82"/>
    </row>
    <row r="848" spans="1:20" ht="13.5" customHeight="1" x14ac:dyDescent="0.25">
      <c r="A848" s="307">
        <v>15</v>
      </c>
      <c r="B848" s="307"/>
      <c r="C848" s="170"/>
      <c r="D848" s="309"/>
      <c r="E848" s="170"/>
      <c r="F848" s="311"/>
      <c r="G848" s="313"/>
      <c r="H848" s="315"/>
      <c r="I848" s="8"/>
      <c r="J848" s="8"/>
      <c r="K848" s="8"/>
      <c r="L848" s="8"/>
      <c r="M848" s="8"/>
      <c r="N848" s="8"/>
      <c r="O848" s="8"/>
      <c r="P848" s="8"/>
      <c r="Q848" s="8"/>
      <c r="R848" s="8"/>
      <c r="S848" s="8"/>
      <c r="T848" s="82"/>
    </row>
    <row r="849" spans="1:20" ht="13.5" customHeight="1" x14ac:dyDescent="0.25">
      <c r="A849" s="308"/>
      <c r="B849" s="308"/>
      <c r="C849" s="171" t="str">
        <f>IFERROR(VLOOKUP(C848,Списки!$E:$F,2,0)," ")</f>
        <v xml:space="preserve"> </v>
      </c>
      <c r="D849" s="310"/>
      <c r="E849" s="171" t="str">
        <f>IFERROR(VLOOKUP(E848,Списки!$E:$F,2,0)," ")</f>
        <v xml:space="preserve"> </v>
      </c>
      <c r="F849" s="312"/>
      <c r="G849" s="314"/>
      <c r="H849" s="315"/>
      <c r="I849" s="8"/>
      <c r="J849" s="8"/>
      <c r="K849" s="8"/>
      <c r="L849" s="8"/>
      <c r="M849" s="8"/>
      <c r="N849" s="8"/>
      <c r="O849" s="8"/>
      <c r="P849" s="8"/>
      <c r="Q849" s="8"/>
      <c r="R849" s="8"/>
      <c r="S849" s="8"/>
      <c r="T849" s="82"/>
    </row>
    <row r="850" spans="1:20" x14ac:dyDescent="0.25">
      <c r="A850" s="36"/>
      <c r="B850" s="37"/>
      <c r="C850" s="173"/>
      <c r="D850" s="173"/>
      <c r="E850" s="174" t="s">
        <v>30</v>
      </c>
      <c r="F850" s="39">
        <f>IFERROR(SUM(IFERROR(IF((LOOKUP(9E+307,F820:F849))&gt;$M$39,(LOOKUP(9E+307,F820:F849))-$M$39,IF((LOOKUP(9E+307,F820:F849))&lt;0.166666667,0+(LOOKUP(9E+307,F820:F849))+1-$M$39,0)),0),(IF(AND(IF(D820,$M$38-D820,0)&gt;0,F820,F820&gt;D820),$M$38-D820,IF(AND(D820,F820,D820&gt;F820),"error",0)))),"ОШИБКА")</f>
        <v>0</v>
      </c>
      <c r="G850" s="40" t="s">
        <v>27</v>
      </c>
      <c r="H850" s="38">
        <f>SUM(H820:H849)</f>
        <v>0</v>
      </c>
      <c r="I850" s="8"/>
      <c r="J850" s="8"/>
      <c r="K850" s="8"/>
      <c r="L850" s="8"/>
      <c r="M850" s="8"/>
      <c r="N850" s="8"/>
      <c r="O850" s="8"/>
      <c r="P850" s="8"/>
      <c r="Q850" s="8"/>
      <c r="R850" s="8"/>
      <c r="S850" s="8"/>
      <c r="T850" s="82"/>
    </row>
    <row r="851" spans="1:20" ht="15.75" x14ac:dyDescent="0.25">
      <c r="A851" s="316">
        <f>DATE(K1,J1,26)</f>
        <v>43856</v>
      </c>
      <c r="B851" s="316"/>
      <c r="C851" s="316"/>
      <c r="D851" s="316"/>
      <c r="E851" s="316"/>
      <c r="F851" s="316"/>
      <c r="G851" s="316"/>
      <c r="H851" s="316"/>
      <c r="I851" s="8"/>
      <c r="J851" s="8"/>
      <c r="K851" s="8"/>
      <c r="L851" s="8"/>
      <c r="M851" s="8"/>
      <c r="N851" s="8"/>
      <c r="O851" s="8"/>
      <c r="P851" s="8"/>
      <c r="Q851" s="8"/>
      <c r="R851" s="8"/>
      <c r="S851" s="8"/>
      <c r="T851" s="82"/>
    </row>
    <row r="852" spans="1:20" ht="13.5" customHeight="1" x14ac:dyDescent="0.25">
      <c r="A852" s="318"/>
      <c r="B852" s="320" t="s">
        <v>34</v>
      </c>
      <c r="C852" s="175" t="s">
        <v>39</v>
      </c>
      <c r="D852" s="322" t="s">
        <v>36</v>
      </c>
      <c r="E852" s="175" t="s">
        <v>37</v>
      </c>
      <c r="F852" s="320" t="s">
        <v>36</v>
      </c>
      <c r="G852" s="324" t="s">
        <v>35</v>
      </c>
      <c r="H852" s="315" t="s">
        <v>40</v>
      </c>
      <c r="I852" s="8"/>
      <c r="J852" s="8"/>
      <c r="K852" s="8"/>
      <c r="L852" s="8"/>
      <c r="M852" s="8"/>
      <c r="N852" s="8"/>
      <c r="O852" s="8"/>
      <c r="P852" s="8"/>
      <c r="Q852" s="8"/>
      <c r="R852" s="8"/>
      <c r="S852" s="8"/>
      <c r="T852" s="82"/>
    </row>
    <row r="853" spans="1:20" ht="13.5" customHeight="1" x14ac:dyDescent="0.25">
      <c r="A853" s="319"/>
      <c r="B853" s="321"/>
      <c r="C853" s="169" t="s">
        <v>38</v>
      </c>
      <c r="D853" s="323"/>
      <c r="E853" s="169" t="s">
        <v>38</v>
      </c>
      <c r="F853" s="321"/>
      <c r="G853" s="325"/>
      <c r="H853" s="315"/>
      <c r="I853" s="8"/>
      <c r="J853" s="8"/>
      <c r="K853" s="8"/>
      <c r="L853" s="8"/>
      <c r="M853" s="8"/>
      <c r="N853" s="8"/>
      <c r="O853" s="8"/>
      <c r="P853" s="8"/>
      <c r="Q853" s="8"/>
      <c r="R853" s="8"/>
      <c r="S853" s="8"/>
      <c r="T853" s="82"/>
    </row>
    <row r="854" spans="1:20" ht="13.5" customHeight="1" x14ac:dyDescent="0.25">
      <c r="A854" s="307">
        <v>1</v>
      </c>
      <c r="B854" s="307"/>
      <c r="C854" s="170" t="s">
        <v>43</v>
      </c>
      <c r="D854" s="309"/>
      <c r="E854" s="170" t="s">
        <v>44</v>
      </c>
      <c r="F854" s="311"/>
      <c r="G854" s="313"/>
      <c r="H854" s="315"/>
      <c r="I854" s="8"/>
      <c r="J854" s="8"/>
      <c r="K854" s="8"/>
      <c r="L854" s="8"/>
      <c r="M854" s="8"/>
      <c r="N854" s="8"/>
      <c r="O854" s="8"/>
      <c r="P854" s="8"/>
      <c r="Q854" s="8"/>
      <c r="R854" s="8"/>
      <c r="S854" s="8"/>
      <c r="T854" s="82"/>
    </row>
    <row r="855" spans="1:20" ht="13.5" customHeight="1" x14ac:dyDescent="0.25">
      <c r="A855" s="308"/>
      <c r="B855" s="308"/>
      <c r="C855" s="171" t="str">
        <f>IFERROR(VLOOKUP(C854,Списки!$E:$F,2,0)," ")</f>
        <v>SAVUSHKINA ST 128</v>
      </c>
      <c r="D855" s="310"/>
      <c r="E855" s="171" t="str">
        <f>IFERROR(VLOOKUP(E854,Списки!$E:$F,2,0)," ")</f>
        <v>LEVASHOVSKOE HWY 20</v>
      </c>
      <c r="F855" s="312"/>
      <c r="G855" s="314"/>
      <c r="H855" s="315"/>
      <c r="I855" s="8"/>
      <c r="J855" s="8"/>
      <c r="K855" s="8"/>
      <c r="L855" s="8"/>
      <c r="M855" s="8"/>
      <c r="N855" s="8"/>
      <c r="O855" s="8"/>
      <c r="P855" s="8"/>
      <c r="Q855" s="8"/>
      <c r="R855" s="8"/>
      <c r="S855" s="8"/>
      <c r="T855" s="82"/>
    </row>
    <row r="856" spans="1:20" ht="13.5" customHeight="1" x14ac:dyDescent="0.25">
      <c r="A856" s="307">
        <v>2</v>
      </c>
      <c r="B856" s="307"/>
      <c r="C856" s="170" t="s">
        <v>44</v>
      </c>
      <c r="D856" s="309"/>
      <c r="E856" s="170"/>
      <c r="F856" s="311"/>
      <c r="G856" s="313"/>
      <c r="H856" s="315"/>
      <c r="I856" s="8"/>
      <c r="J856" s="8"/>
      <c r="K856" s="8"/>
      <c r="L856" s="8"/>
      <c r="M856" s="8"/>
      <c r="N856" s="8"/>
      <c r="O856" s="8"/>
      <c r="P856" s="8"/>
      <c r="Q856" s="8"/>
      <c r="R856" s="8"/>
      <c r="S856" s="8"/>
      <c r="T856" s="82"/>
    </row>
    <row r="857" spans="1:20" ht="13.5" customHeight="1" x14ac:dyDescent="0.25">
      <c r="A857" s="308"/>
      <c r="B857" s="308"/>
      <c r="C857" s="171" t="str">
        <f>IFERROR(VLOOKUP(C856,Списки!$E:$F,2,0)," ")</f>
        <v>LEVASHOVSKOE HWY 20</v>
      </c>
      <c r="D857" s="310"/>
      <c r="E857" s="171" t="str">
        <f>IFERROR(VLOOKUP(E856,Списки!$E:$F,2,0)," ")</f>
        <v xml:space="preserve"> </v>
      </c>
      <c r="F857" s="312"/>
      <c r="G857" s="314"/>
      <c r="H857" s="315"/>
      <c r="I857" s="8"/>
      <c r="J857" s="8"/>
      <c r="K857" s="8"/>
      <c r="L857" s="8"/>
      <c r="M857" s="8"/>
      <c r="N857" s="8"/>
      <c r="O857" s="8"/>
      <c r="P857" s="8"/>
      <c r="Q857" s="8"/>
      <c r="R857" s="8"/>
      <c r="S857" s="8"/>
      <c r="T857" s="82"/>
    </row>
    <row r="858" spans="1:20" ht="13.5" customHeight="1" x14ac:dyDescent="0.25">
      <c r="A858" s="307">
        <v>3</v>
      </c>
      <c r="B858" s="307"/>
      <c r="C858" s="170"/>
      <c r="D858" s="309"/>
      <c r="E858" s="170"/>
      <c r="F858" s="311"/>
      <c r="G858" s="313"/>
      <c r="H858" s="315"/>
      <c r="I858" s="8"/>
      <c r="J858" s="8"/>
      <c r="K858" s="8"/>
      <c r="L858" s="8"/>
      <c r="M858" s="8"/>
      <c r="N858" s="8"/>
      <c r="O858" s="8"/>
      <c r="P858" s="8"/>
      <c r="Q858" s="8"/>
      <c r="R858" s="8"/>
      <c r="S858" s="8"/>
      <c r="T858" s="82"/>
    </row>
    <row r="859" spans="1:20" ht="13.5" customHeight="1" x14ac:dyDescent="0.25">
      <c r="A859" s="308"/>
      <c r="B859" s="308"/>
      <c r="C859" s="171" t="str">
        <f>IFERROR(VLOOKUP(C858,Списки!$E:$F,2,0)," ")</f>
        <v xml:space="preserve"> </v>
      </c>
      <c r="D859" s="310"/>
      <c r="E859" s="171" t="str">
        <f>IFERROR(VLOOKUP(E858,Списки!$E:$F,2,0)," ")</f>
        <v xml:space="preserve"> </v>
      </c>
      <c r="F859" s="312"/>
      <c r="G859" s="314"/>
      <c r="H859" s="315"/>
      <c r="I859" s="8"/>
      <c r="J859" s="8"/>
      <c r="K859" s="8"/>
      <c r="L859" s="8"/>
      <c r="M859" s="8"/>
      <c r="N859" s="8"/>
      <c r="O859" s="8"/>
      <c r="P859" s="8"/>
      <c r="Q859" s="8"/>
      <c r="R859" s="8"/>
      <c r="S859" s="8"/>
      <c r="T859" s="82"/>
    </row>
    <row r="860" spans="1:20" ht="13.5" customHeight="1" x14ac:dyDescent="0.25">
      <c r="A860" s="307">
        <v>4</v>
      </c>
      <c r="B860" s="307"/>
      <c r="C860" s="170"/>
      <c r="D860" s="309"/>
      <c r="E860" s="170"/>
      <c r="F860" s="311"/>
      <c r="G860" s="313"/>
      <c r="H860" s="315"/>
      <c r="I860" s="8"/>
      <c r="J860" s="8"/>
      <c r="K860" s="8"/>
      <c r="L860" s="8"/>
      <c r="M860" s="8"/>
      <c r="N860" s="8"/>
      <c r="O860" s="8"/>
      <c r="P860" s="8"/>
      <c r="Q860" s="8"/>
      <c r="R860" s="8"/>
      <c r="S860" s="8"/>
      <c r="T860" s="82"/>
    </row>
    <row r="861" spans="1:20" ht="13.5" customHeight="1" x14ac:dyDescent="0.25">
      <c r="A861" s="308"/>
      <c r="B861" s="308"/>
      <c r="C861" s="171" t="str">
        <f>IFERROR(VLOOKUP(C860,Списки!$E:$F,2,0)," ")</f>
        <v xml:space="preserve"> </v>
      </c>
      <c r="D861" s="310"/>
      <c r="E861" s="171" t="str">
        <f>IFERROR(VLOOKUP(E860,Списки!$E:$F,2,0)," ")</f>
        <v xml:space="preserve"> </v>
      </c>
      <c r="F861" s="312"/>
      <c r="G861" s="314"/>
      <c r="H861" s="315"/>
      <c r="I861" s="8"/>
      <c r="J861" s="8"/>
      <c r="K861" s="8"/>
      <c r="L861" s="8"/>
      <c r="M861" s="8"/>
      <c r="N861" s="8"/>
      <c r="O861" s="8"/>
      <c r="P861" s="8"/>
      <c r="Q861" s="8"/>
      <c r="R861" s="8"/>
      <c r="S861" s="8"/>
      <c r="T861" s="82"/>
    </row>
    <row r="862" spans="1:20" ht="13.5" customHeight="1" x14ac:dyDescent="0.25">
      <c r="A862" s="307">
        <v>5</v>
      </c>
      <c r="B862" s="307"/>
      <c r="C862" s="170"/>
      <c r="D862" s="309"/>
      <c r="E862" s="172"/>
      <c r="F862" s="311"/>
      <c r="G862" s="313"/>
      <c r="H862" s="315"/>
      <c r="I862" s="8"/>
      <c r="J862" s="8"/>
      <c r="K862" s="8"/>
      <c r="L862" s="8"/>
      <c r="M862" s="8"/>
      <c r="N862" s="8"/>
      <c r="O862" s="8"/>
      <c r="P862" s="8"/>
      <c r="Q862" s="8"/>
      <c r="R862" s="8"/>
      <c r="S862" s="8"/>
      <c r="T862" s="82"/>
    </row>
    <row r="863" spans="1:20" ht="13.5" customHeight="1" x14ac:dyDescent="0.25">
      <c r="A863" s="308"/>
      <c r="B863" s="308"/>
      <c r="C863" s="171" t="str">
        <f>IFERROR(VLOOKUP(C862,Списки!$E:$F,2,0)," ")</f>
        <v xml:space="preserve"> </v>
      </c>
      <c r="D863" s="310"/>
      <c r="E863" s="172" t="str">
        <f>IFERROR(VLOOKUP(E862,Списки!$E:$F,2,0)," ")</f>
        <v xml:space="preserve"> </v>
      </c>
      <c r="F863" s="312"/>
      <c r="G863" s="314"/>
      <c r="H863" s="315"/>
      <c r="I863" s="8"/>
      <c r="J863" s="8"/>
      <c r="K863" s="8"/>
      <c r="L863" s="8"/>
      <c r="M863" s="8"/>
      <c r="N863" s="8"/>
      <c r="O863" s="8"/>
      <c r="P863" s="8"/>
      <c r="Q863" s="8"/>
      <c r="R863" s="8"/>
      <c r="S863" s="8"/>
      <c r="T863" s="82"/>
    </row>
    <row r="864" spans="1:20" ht="13.5" customHeight="1" x14ac:dyDescent="0.25">
      <c r="A864" s="307">
        <v>6</v>
      </c>
      <c r="B864" s="307"/>
      <c r="C864" s="170"/>
      <c r="D864" s="309"/>
      <c r="E864" s="170"/>
      <c r="F864" s="311"/>
      <c r="G864" s="313"/>
      <c r="H864" s="315"/>
      <c r="I864" s="8"/>
      <c r="J864" s="8"/>
      <c r="K864" s="8"/>
      <c r="L864" s="8"/>
      <c r="M864" s="8"/>
      <c r="N864" s="8"/>
      <c r="O864" s="8"/>
      <c r="P864" s="8"/>
      <c r="Q864" s="8"/>
      <c r="R864" s="8"/>
      <c r="S864" s="8"/>
      <c r="T864" s="82"/>
    </row>
    <row r="865" spans="1:20" ht="13.5" customHeight="1" x14ac:dyDescent="0.25">
      <c r="A865" s="308"/>
      <c r="B865" s="308"/>
      <c r="C865" s="171" t="str">
        <f>IFERROR(VLOOKUP(C864,Списки!$E:$F,2,0)," ")</f>
        <v xml:space="preserve"> </v>
      </c>
      <c r="D865" s="310"/>
      <c r="E865" s="179" t="str">
        <f>IFERROR(VLOOKUP(E864,Списки!$E:$F,2,0)," ")</f>
        <v xml:space="preserve"> </v>
      </c>
      <c r="F865" s="312"/>
      <c r="G865" s="314"/>
      <c r="H865" s="315"/>
      <c r="I865" s="8"/>
      <c r="J865" s="8"/>
      <c r="K865" s="8"/>
      <c r="L865" s="8"/>
      <c r="M865" s="8"/>
      <c r="N865" s="8"/>
      <c r="O865" s="8"/>
      <c r="P865" s="8"/>
      <c r="Q865" s="8"/>
      <c r="R865" s="8"/>
      <c r="S865" s="8"/>
      <c r="T865" s="82"/>
    </row>
    <row r="866" spans="1:20" ht="13.5" customHeight="1" x14ac:dyDescent="0.25">
      <c r="A866" s="307">
        <v>7</v>
      </c>
      <c r="B866" s="307"/>
      <c r="C866" s="170"/>
      <c r="D866" s="309"/>
      <c r="E866" s="170"/>
      <c r="F866" s="311"/>
      <c r="G866" s="313"/>
      <c r="H866" s="315"/>
      <c r="I866" s="8"/>
      <c r="J866" s="8"/>
      <c r="K866" s="8"/>
      <c r="L866" s="8"/>
      <c r="M866" s="8"/>
      <c r="N866" s="8"/>
      <c r="O866" s="8"/>
      <c r="P866" s="8"/>
      <c r="Q866" s="8"/>
      <c r="R866" s="8"/>
      <c r="S866" s="8"/>
      <c r="T866" s="82"/>
    </row>
    <row r="867" spans="1:20" ht="13.5" customHeight="1" x14ac:dyDescent="0.25">
      <c r="A867" s="308"/>
      <c r="B867" s="308"/>
      <c r="C867" s="179" t="str">
        <f>IFERROR(VLOOKUP(C866,Списки!$E:$F,2,0)," ")</f>
        <v xml:space="preserve"> </v>
      </c>
      <c r="D867" s="310"/>
      <c r="E867" s="171" t="str">
        <f>IFERROR(VLOOKUP(E866,Списки!$E:$F,2,0)," ")</f>
        <v xml:space="preserve"> </v>
      </c>
      <c r="F867" s="312"/>
      <c r="G867" s="314"/>
      <c r="H867" s="315"/>
      <c r="I867" s="8"/>
      <c r="J867" s="8"/>
      <c r="K867" s="8"/>
      <c r="L867" s="8"/>
      <c r="M867" s="8"/>
      <c r="N867" s="8"/>
      <c r="O867" s="8"/>
      <c r="P867" s="8"/>
      <c r="Q867" s="8"/>
      <c r="R867" s="8"/>
      <c r="S867" s="8"/>
      <c r="T867" s="82"/>
    </row>
    <row r="868" spans="1:20" ht="13.5" customHeight="1" x14ac:dyDescent="0.25">
      <c r="A868" s="307">
        <v>8</v>
      </c>
      <c r="B868" s="307"/>
      <c r="C868" s="170"/>
      <c r="D868" s="309"/>
      <c r="E868" s="170"/>
      <c r="F868" s="311"/>
      <c r="G868" s="313"/>
      <c r="H868" s="315"/>
      <c r="I868" s="8"/>
      <c r="J868" s="8"/>
      <c r="K868" s="8"/>
      <c r="L868" s="8"/>
      <c r="M868" s="8"/>
      <c r="N868" s="8"/>
      <c r="O868" s="8"/>
      <c r="P868" s="8"/>
      <c r="Q868" s="8"/>
      <c r="R868" s="8"/>
      <c r="S868" s="8"/>
      <c r="T868" s="82"/>
    </row>
    <row r="869" spans="1:20" ht="13.5" customHeight="1" x14ac:dyDescent="0.25">
      <c r="A869" s="308"/>
      <c r="B869" s="308"/>
      <c r="C869" s="179" t="str">
        <f>IFERROR(VLOOKUP(C868,Списки!$E:$F,2,0)," ")</f>
        <v xml:space="preserve"> </v>
      </c>
      <c r="D869" s="310"/>
      <c r="E869" s="171" t="str">
        <f>IFERROR(VLOOKUP(E868,Списки!$E:$F,2,0)," ")</f>
        <v xml:space="preserve"> </v>
      </c>
      <c r="F869" s="312"/>
      <c r="G869" s="314"/>
      <c r="H869" s="315"/>
      <c r="I869" s="8"/>
      <c r="J869" s="8"/>
      <c r="K869" s="8"/>
      <c r="L869" s="8"/>
      <c r="M869" s="8"/>
      <c r="N869" s="8"/>
      <c r="O869" s="8"/>
      <c r="P869" s="8"/>
      <c r="Q869" s="8"/>
      <c r="R869" s="8"/>
      <c r="S869" s="8"/>
      <c r="T869" s="82"/>
    </row>
    <row r="870" spans="1:20" ht="13.5" customHeight="1" x14ac:dyDescent="0.25">
      <c r="A870" s="307">
        <v>9</v>
      </c>
      <c r="B870" s="307"/>
      <c r="C870" s="170"/>
      <c r="D870" s="309"/>
      <c r="E870" s="170"/>
      <c r="F870" s="311"/>
      <c r="G870" s="313"/>
      <c r="H870" s="315"/>
      <c r="I870" s="8"/>
      <c r="J870" s="8"/>
      <c r="K870" s="8"/>
      <c r="L870" s="8"/>
      <c r="M870" s="8"/>
      <c r="N870" s="8"/>
      <c r="O870" s="8"/>
      <c r="P870" s="8"/>
      <c r="Q870" s="8"/>
      <c r="R870" s="8"/>
      <c r="S870" s="8"/>
      <c r="T870" s="82"/>
    </row>
    <row r="871" spans="1:20" ht="13.5" customHeight="1" x14ac:dyDescent="0.25">
      <c r="A871" s="308"/>
      <c r="B871" s="308"/>
      <c r="C871" s="171" t="str">
        <f>IFERROR(VLOOKUP(C870,Списки!$E:$F,2,0)," ")</f>
        <v xml:space="preserve"> </v>
      </c>
      <c r="D871" s="310"/>
      <c r="E871" s="171" t="str">
        <f>IFERROR(VLOOKUP(E870,Списки!$E:$F,2,0)," ")</f>
        <v xml:space="preserve"> </v>
      </c>
      <c r="F871" s="312"/>
      <c r="G871" s="314"/>
      <c r="H871" s="315"/>
      <c r="I871" s="8"/>
      <c r="J871" s="8"/>
      <c r="K871" s="8"/>
      <c r="L871" s="8"/>
      <c r="M871" s="8"/>
      <c r="N871" s="8"/>
      <c r="O871" s="8"/>
      <c r="P871" s="8"/>
      <c r="Q871" s="8"/>
      <c r="R871" s="8"/>
      <c r="S871" s="8"/>
      <c r="T871" s="82"/>
    </row>
    <row r="872" spans="1:20" ht="13.5" customHeight="1" x14ac:dyDescent="0.25">
      <c r="A872" s="307">
        <v>10</v>
      </c>
      <c r="B872" s="307"/>
      <c r="C872" s="170"/>
      <c r="D872" s="309"/>
      <c r="E872" s="170"/>
      <c r="F872" s="311"/>
      <c r="G872" s="313"/>
      <c r="H872" s="315"/>
      <c r="I872" s="8"/>
      <c r="J872" s="8"/>
      <c r="K872" s="8"/>
      <c r="L872" s="8"/>
      <c r="M872" s="8"/>
      <c r="N872" s="8"/>
      <c r="O872" s="8"/>
      <c r="P872" s="8"/>
      <c r="Q872" s="8"/>
      <c r="R872" s="8"/>
      <c r="S872" s="8"/>
      <c r="T872" s="82"/>
    </row>
    <row r="873" spans="1:20" ht="13.5" customHeight="1" x14ac:dyDescent="0.25">
      <c r="A873" s="308"/>
      <c r="B873" s="308"/>
      <c r="C873" s="171" t="str">
        <f>IFERROR(VLOOKUP(C872,Списки!$E:$F,2,0)," ")</f>
        <v xml:space="preserve"> </v>
      </c>
      <c r="D873" s="310"/>
      <c r="E873" s="171" t="str">
        <f>IFERROR(VLOOKUP(E872,Списки!$E:$F,2,0)," ")</f>
        <v xml:space="preserve"> </v>
      </c>
      <c r="F873" s="312"/>
      <c r="G873" s="314"/>
      <c r="H873" s="315"/>
      <c r="I873" s="8"/>
      <c r="J873" s="8"/>
      <c r="K873" s="8"/>
      <c r="L873" s="8"/>
      <c r="M873" s="8"/>
      <c r="N873" s="8"/>
      <c r="O873" s="8"/>
      <c r="P873" s="8"/>
      <c r="Q873" s="8"/>
      <c r="R873" s="8"/>
      <c r="S873" s="8"/>
      <c r="T873" s="82"/>
    </row>
    <row r="874" spans="1:20" ht="13.5" customHeight="1" x14ac:dyDescent="0.25">
      <c r="A874" s="307">
        <v>11</v>
      </c>
      <c r="B874" s="307"/>
      <c r="C874" s="170"/>
      <c r="D874" s="309"/>
      <c r="E874" s="170"/>
      <c r="F874" s="311"/>
      <c r="G874" s="313"/>
      <c r="H874" s="315"/>
      <c r="I874" s="8"/>
      <c r="J874" s="8"/>
      <c r="K874" s="8"/>
      <c r="L874" s="8"/>
      <c r="M874" s="8"/>
      <c r="N874" s="8"/>
      <c r="O874" s="8"/>
      <c r="P874" s="8"/>
      <c r="Q874" s="8"/>
      <c r="R874" s="8"/>
      <c r="S874" s="8"/>
      <c r="T874" s="82"/>
    </row>
    <row r="875" spans="1:20" ht="13.5" customHeight="1" x14ac:dyDescent="0.25">
      <c r="A875" s="308"/>
      <c r="B875" s="308"/>
      <c r="C875" s="171" t="str">
        <f>IFERROR(VLOOKUP(C874,Списки!$E:$F,2,0)," ")</f>
        <v xml:space="preserve"> </v>
      </c>
      <c r="D875" s="310"/>
      <c r="E875" s="171" t="str">
        <f>IFERROR(VLOOKUP(E874,Списки!$E:$F,2,0)," ")</f>
        <v xml:space="preserve"> </v>
      </c>
      <c r="F875" s="312"/>
      <c r="G875" s="314"/>
      <c r="H875" s="315"/>
      <c r="I875" s="8"/>
      <c r="J875" s="8"/>
      <c r="K875" s="8"/>
      <c r="L875" s="8"/>
      <c r="M875" s="8"/>
      <c r="N875" s="8"/>
      <c r="O875" s="8"/>
      <c r="P875" s="8"/>
      <c r="Q875" s="8"/>
      <c r="R875" s="8"/>
      <c r="S875" s="8"/>
      <c r="T875" s="82"/>
    </row>
    <row r="876" spans="1:20" ht="13.5" customHeight="1" x14ac:dyDescent="0.25">
      <c r="A876" s="307">
        <v>12</v>
      </c>
      <c r="B876" s="307"/>
      <c r="C876" s="170"/>
      <c r="D876" s="309"/>
      <c r="E876" s="170"/>
      <c r="F876" s="311"/>
      <c r="G876" s="313"/>
      <c r="H876" s="315"/>
      <c r="I876" s="8"/>
      <c r="J876" s="8"/>
      <c r="K876" s="8"/>
      <c r="L876" s="8"/>
      <c r="M876" s="8"/>
      <c r="N876" s="8"/>
      <c r="O876" s="8"/>
      <c r="P876" s="8"/>
      <c r="Q876" s="8"/>
      <c r="R876" s="8"/>
      <c r="S876" s="8"/>
      <c r="T876" s="82"/>
    </row>
    <row r="877" spans="1:20" ht="13.5" customHeight="1" x14ac:dyDescent="0.25">
      <c r="A877" s="308"/>
      <c r="B877" s="308"/>
      <c r="C877" s="171" t="str">
        <f>IFERROR(VLOOKUP(C876,Списки!$E:$F,2,0)," ")</f>
        <v xml:space="preserve"> </v>
      </c>
      <c r="D877" s="310"/>
      <c r="E877" s="171" t="str">
        <f>IFERROR(VLOOKUP(E876,Списки!$E:$F,2,0)," ")</f>
        <v xml:space="preserve"> </v>
      </c>
      <c r="F877" s="312"/>
      <c r="G877" s="314"/>
      <c r="H877" s="315"/>
      <c r="I877" s="8"/>
      <c r="J877" s="8"/>
      <c r="K877" s="8"/>
      <c r="L877" s="8"/>
      <c r="M877" s="8"/>
      <c r="N877" s="8"/>
      <c r="O877" s="8"/>
      <c r="P877" s="8"/>
      <c r="Q877" s="8"/>
      <c r="R877" s="8"/>
      <c r="S877" s="8"/>
      <c r="T877" s="82"/>
    </row>
    <row r="878" spans="1:20" ht="13.5" customHeight="1" x14ac:dyDescent="0.25">
      <c r="A878" s="307">
        <v>13</v>
      </c>
      <c r="B878" s="307"/>
      <c r="C878" s="170"/>
      <c r="D878" s="309"/>
      <c r="E878" s="170"/>
      <c r="F878" s="311"/>
      <c r="G878" s="313"/>
      <c r="H878" s="315"/>
      <c r="I878" s="8"/>
      <c r="J878" s="8"/>
      <c r="K878" s="8"/>
      <c r="L878" s="8"/>
      <c r="M878" s="8"/>
      <c r="N878" s="8"/>
      <c r="O878" s="8"/>
      <c r="P878" s="8"/>
      <c r="Q878" s="8"/>
      <c r="R878" s="8"/>
      <c r="S878" s="8"/>
      <c r="T878" s="82"/>
    </row>
    <row r="879" spans="1:20" ht="13.5" customHeight="1" x14ac:dyDescent="0.25">
      <c r="A879" s="308"/>
      <c r="B879" s="308"/>
      <c r="C879" s="171" t="str">
        <f>IFERROR(VLOOKUP(C878,Списки!$E:$F,2,0)," ")</f>
        <v xml:space="preserve"> </v>
      </c>
      <c r="D879" s="310"/>
      <c r="E879" s="171" t="str">
        <f>IFERROR(VLOOKUP(E878,Списки!$E:$F,2,0)," ")</f>
        <v xml:space="preserve"> </v>
      </c>
      <c r="F879" s="312"/>
      <c r="G879" s="314"/>
      <c r="H879" s="315"/>
      <c r="I879" s="8"/>
      <c r="J879" s="8"/>
      <c r="K879" s="8"/>
      <c r="L879" s="8"/>
      <c r="M879" s="8"/>
      <c r="N879" s="8"/>
      <c r="O879" s="8"/>
      <c r="P879" s="8"/>
      <c r="Q879" s="8"/>
      <c r="R879" s="8"/>
      <c r="S879" s="8"/>
      <c r="T879" s="82"/>
    </row>
    <row r="880" spans="1:20" ht="13.5" customHeight="1" x14ac:dyDescent="0.25">
      <c r="A880" s="307">
        <v>14</v>
      </c>
      <c r="B880" s="307"/>
      <c r="C880" s="170"/>
      <c r="D880" s="309"/>
      <c r="E880" s="170"/>
      <c r="F880" s="311"/>
      <c r="G880" s="313"/>
      <c r="H880" s="315"/>
      <c r="I880" s="8"/>
      <c r="J880" s="8"/>
      <c r="K880" s="8"/>
      <c r="L880" s="8"/>
      <c r="M880" s="8"/>
      <c r="N880" s="8"/>
      <c r="O880" s="8"/>
      <c r="P880" s="8"/>
      <c r="Q880" s="8"/>
      <c r="R880" s="8"/>
      <c r="S880" s="8"/>
      <c r="T880" s="82"/>
    </row>
    <row r="881" spans="1:20" ht="13.5" customHeight="1" x14ac:dyDescent="0.25">
      <c r="A881" s="308"/>
      <c r="B881" s="308"/>
      <c r="C881" s="171" t="str">
        <f>IFERROR(VLOOKUP(C880,Списки!$E:$F,2,0)," ")</f>
        <v xml:space="preserve"> </v>
      </c>
      <c r="D881" s="310"/>
      <c r="E881" s="171" t="str">
        <f>IFERROR(VLOOKUP(E880,Списки!$E:$F,2,0)," ")</f>
        <v xml:space="preserve"> </v>
      </c>
      <c r="F881" s="312"/>
      <c r="G881" s="314"/>
      <c r="H881" s="315"/>
      <c r="I881" s="8"/>
      <c r="J881" s="8"/>
      <c r="K881" s="8"/>
      <c r="L881" s="8"/>
      <c r="M881" s="8"/>
      <c r="N881" s="8"/>
      <c r="O881" s="8"/>
      <c r="P881" s="8"/>
      <c r="Q881" s="8"/>
      <c r="R881" s="8"/>
      <c r="S881" s="8"/>
      <c r="T881" s="82"/>
    </row>
    <row r="882" spans="1:20" ht="13.5" customHeight="1" x14ac:dyDescent="0.25">
      <c r="A882" s="307">
        <v>15</v>
      </c>
      <c r="B882" s="307"/>
      <c r="C882" s="170"/>
      <c r="D882" s="309"/>
      <c r="E882" s="170"/>
      <c r="F882" s="311"/>
      <c r="G882" s="313"/>
      <c r="H882" s="315"/>
      <c r="I882" s="8"/>
      <c r="J882" s="8"/>
      <c r="K882" s="8"/>
      <c r="L882" s="8"/>
      <c r="M882" s="8"/>
      <c r="N882" s="8"/>
      <c r="O882" s="8"/>
      <c r="P882" s="8"/>
      <c r="Q882" s="8"/>
      <c r="R882" s="8"/>
      <c r="S882" s="8"/>
      <c r="T882" s="82"/>
    </row>
    <row r="883" spans="1:20" ht="13.5" customHeight="1" x14ac:dyDescent="0.25">
      <c r="A883" s="308"/>
      <c r="B883" s="308"/>
      <c r="C883" s="171" t="str">
        <f>IFERROR(VLOOKUP(C882,Списки!$E:$F,2,0)," ")</f>
        <v xml:space="preserve"> </v>
      </c>
      <c r="D883" s="310"/>
      <c r="E883" s="171" t="str">
        <f>IFERROR(VLOOKUP(E882,Списки!$E:$F,2,0)," ")</f>
        <v xml:space="preserve"> </v>
      </c>
      <c r="F883" s="312"/>
      <c r="G883" s="314"/>
      <c r="H883" s="315"/>
      <c r="I883" s="8"/>
      <c r="J883" s="8"/>
      <c r="K883" s="8"/>
      <c r="L883" s="8"/>
      <c r="M883" s="8"/>
      <c r="N883" s="8"/>
      <c r="O883" s="8"/>
      <c r="P883" s="8"/>
      <c r="Q883" s="8"/>
      <c r="R883" s="8"/>
      <c r="S883" s="8"/>
      <c r="T883" s="82"/>
    </row>
    <row r="884" spans="1:20" x14ac:dyDescent="0.25">
      <c r="A884" s="36"/>
      <c r="B884" s="37"/>
      <c r="C884" s="173"/>
      <c r="D884" s="173"/>
      <c r="E884" s="174" t="s">
        <v>30</v>
      </c>
      <c r="F884" s="39">
        <f>IFERROR(SUM(IFERROR(IF((LOOKUP(9E+307,F854:F883))&gt;$M$39,(LOOKUP(9E+307,F854:F883))-$M$39,IF((LOOKUP(9E+307,F854:F883))&lt;0.166666667,0+(LOOKUP(9E+307,F854:F883))+1-$M$39,0)),0),(IF(AND(IF(D854,$M$38-D854,0)&gt;0,F854,F854&gt;D854),$M$38-D854,IF(AND(D854,F854,D854&gt;F854),"error",0)))),"ОШИБКА")</f>
        <v>0</v>
      </c>
      <c r="G884" s="40" t="s">
        <v>27</v>
      </c>
      <c r="H884" s="38">
        <f>SUM(H854:H883)</f>
        <v>0</v>
      </c>
      <c r="I884" s="8"/>
      <c r="J884" s="8"/>
      <c r="K884" s="8"/>
      <c r="L884" s="8"/>
      <c r="M884" s="8"/>
      <c r="N884" s="8"/>
      <c r="O884" s="8"/>
      <c r="P884" s="8"/>
      <c r="Q884" s="8"/>
      <c r="R884" s="8"/>
      <c r="S884" s="8"/>
      <c r="T884" s="82"/>
    </row>
    <row r="885" spans="1:20" ht="15.75" x14ac:dyDescent="0.25">
      <c r="A885" s="316">
        <f>DATE(K1,J1,27)</f>
        <v>43857</v>
      </c>
      <c r="B885" s="316"/>
      <c r="C885" s="316"/>
      <c r="D885" s="316"/>
      <c r="E885" s="316"/>
      <c r="F885" s="316"/>
      <c r="G885" s="316"/>
      <c r="H885" s="316"/>
      <c r="I885" s="8"/>
      <c r="J885" s="8"/>
      <c r="K885" s="8"/>
      <c r="L885" s="8"/>
      <c r="M885" s="8"/>
      <c r="N885" s="8"/>
      <c r="O885" s="8"/>
      <c r="P885" s="8"/>
      <c r="Q885" s="8"/>
      <c r="R885" s="8"/>
      <c r="S885" s="8"/>
      <c r="T885" s="82"/>
    </row>
    <row r="886" spans="1:20" ht="13.5" customHeight="1" x14ac:dyDescent="0.25">
      <c r="A886" s="318"/>
      <c r="B886" s="320" t="s">
        <v>34</v>
      </c>
      <c r="C886" s="175" t="s">
        <v>39</v>
      </c>
      <c r="D886" s="322" t="s">
        <v>36</v>
      </c>
      <c r="E886" s="175" t="s">
        <v>37</v>
      </c>
      <c r="F886" s="320" t="s">
        <v>36</v>
      </c>
      <c r="G886" s="324" t="s">
        <v>35</v>
      </c>
      <c r="H886" s="315" t="s">
        <v>40</v>
      </c>
      <c r="I886" s="8"/>
      <c r="J886" s="8"/>
      <c r="K886" s="8"/>
      <c r="L886" s="8"/>
      <c r="M886" s="8"/>
      <c r="N886" s="8"/>
      <c r="O886" s="8"/>
      <c r="P886" s="8"/>
      <c r="Q886" s="8"/>
      <c r="R886" s="8"/>
      <c r="S886" s="8"/>
      <c r="T886" s="82"/>
    </row>
    <row r="887" spans="1:20" ht="13.5" customHeight="1" x14ac:dyDescent="0.25">
      <c r="A887" s="319"/>
      <c r="B887" s="321"/>
      <c r="C887" s="169" t="s">
        <v>38</v>
      </c>
      <c r="D887" s="323"/>
      <c r="E887" s="169" t="s">
        <v>38</v>
      </c>
      <c r="F887" s="321"/>
      <c r="G887" s="325"/>
      <c r="H887" s="315"/>
      <c r="I887" s="8"/>
      <c r="J887" s="8"/>
      <c r="K887" s="8"/>
      <c r="L887" s="8"/>
      <c r="M887" s="8"/>
      <c r="N887" s="8"/>
      <c r="O887" s="8"/>
      <c r="P887" s="8"/>
      <c r="Q887" s="8"/>
      <c r="R887" s="8"/>
      <c r="S887" s="8"/>
      <c r="T887" s="82"/>
    </row>
    <row r="888" spans="1:20" ht="13.5" customHeight="1" x14ac:dyDescent="0.25">
      <c r="A888" s="307">
        <v>1</v>
      </c>
      <c r="B888" s="307"/>
      <c r="C888" s="170" t="s">
        <v>43</v>
      </c>
      <c r="D888" s="309"/>
      <c r="E888" s="170" t="s">
        <v>44</v>
      </c>
      <c r="F888" s="311"/>
      <c r="G888" s="313"/>
      <c r="H888" s="315"/>
      <c r="I888" s="8"/>
      <c r="J888" s="8"/>
      <c r="K888" s="8"/>
      <c r="L888" s="8"/>
      <c r="M888" s="8"/>
      <c r="N888" s="8"/>
      <c r="O888" s="8"/>
      <c r="P888" s="8"/>
      <c r="Q888" s="8"/>
      <c r="R888" s="8"/>
      <c r="S888" s="8"/>
      <c r="T888" s="82"/>
    </row>
    <row r="889" spans="1:20" ht="13.5" customHeight="1" x14ac:dyDescent="0.25">
      <c r="A889" s="308"/>
      <c r="B889" s="308"/>
      <c r="C889" s="171" t="str">
        <f>IFERROR(VLOOKUP(C888,Списки!$E:$F,2,0)," ")</f>
        <v>SAVUSHKINA ST 128</v>
      </c>
      <c r="D889" s="310"/>
      <c r="E889" s="171" t="str">
        <f>IFERROR(VLOOKUP(E888,Списки!$E:$F,2,0)," ")</f>
        <v>LEVASHOVSKOE HWY 20</v>
      </c>
      <c r="F889" s="312"/>
      <c r="G889" s="314"/>
      <c r="H889" s="315"/>
      <c r="I889" s="8"/>
      <c r="J889" s="8"/>
      <c r="K889" s="8"/>
      <c r="L889" s="8"/>
      <c r="M889" s="8"/>
      <c r="N889" s="8"/>
      <c r="O889" s="8"/>
      <c r="P889" s="8"/>
      <c r="Q889" s="8"/>
      <c r="R889" s="8"/>
      <c r="S889" s="8"/>
      <c r="T889" s="82"/>
    </row>
    <row r="890" spans="1:20" ht="13.5" customHeight="1" x14ac:dyDescent="0.25">
      <c r="A890" s="307">
        <v>2</v>
      </c>
      <c r="B890" s="307"/>
      <c r="C890" s="170" t="s">
        <v>44</v>
      </c>
      <c r="D890" s="309"/>
      <c r="E890" s="170"/>
      <c r="F890" s="311"/>
      <c r="G890" s="313"/>
      <c r="H890" s="315"/>
      <c r="I890" s="8"/>
      <c r="J890" s="8"/>
      <c r="K890" s="8"/>
      <c r="L890" s="8"/>
      <c r="M890" s="8"/>
      <c r="N890" s="8"/>
      <c r="O890" s="8"/>
      <c r="P890" s="8"/>
      <c r="Q890" s="8"/>
      <c r="R890" s="8"/>
      <c r="S890" s="8"/>
      <c r="T890" s="82"/>
    </row>
    <row r="891" spans="1:20" ht="13.5" customHeight="1" x14ac:dyDescent="0.25">
      <c r="A891" s="308"/>
      <c r="B891" s="308"/>
      <c r="C891" s="171" t="str">
        <f>IFERROR(VLOOKUP(C890,Списки!$E:$F,2,0)," ")</f>
        <v>LEVASHOVSKOE HWY 20</v>
      </c>
      <c r="D891" s="310"/>
      <c r="E891" s="171" t="str">
        <f>IFERROR(VLOOKUP(E890,Списки!$E:$F,2,0)," ")</f>
        <v xml:space="preserve"> </v>
      </c>
      <c r="F891" s="312"/>
      <c r="G891" s="314"/>
      <c r="H891" s="315"/>
      <c r="I891" s="8"/>
      <c r="J891" s="8"/>
      <c r="K891" s="8"/>
      <c r="L891" s="8"/>
      <c r="M891" s="8"/>
      <c r="N891" s="8"/>
      <c r="O891" s="8"/>
      <c r="P891" s="8"/>
      <c r="Q891" s="8"/>
      <c r="R891" s="8"/>
      <c r="S891" s="8"/>
      <c r="T891" s="82"/>
    </row>
    <row r="892" spans="1:20" ht="13.5" customHeight="1" x14ac:dyDescent="0.25">
      <c r="A892" s="307">
        <v>3</v>
      </c>
      <c r="B892" s="307"/>
      <c r="C892" s="170"/>
      <c r="D892" s="309"/>
      <c r="E892" s="170"/>
      <c r="F892" s="311"/>
      <c r="G892" s="313"/>
      <c r="H892" s="315"/>
      <c r="I892" s="8"/>
      <c r="J892" s="8"/>
      <c r="K892" s="8"/>
      <c r="L892" s="8"/>
      <c r="M892" s="8"/>
      <c r="N892" s="8"/>
      <c r="O892" s="8"/>
      <c r="P892" s="8"/>
      <c r="Q892" s="8"/>
      <c r="R892" s="8"/>
      <c r="S892" s="8"/>
      <c r="T892" s="82"/>
    </row>
    <row r="893" spans="1:20" ht="13.5" customHeight="1" x14ac:dyDescent="0.25">
      <c r="A893" s="308"/>
      <c r="B893" s="308"/>
      <c r="C893" s="171" t="str">
        <f>IFERROR(VLOOKUP(C892,Списки!$E:$F,2,0)," ")</f>
        <v xml:space="preserve"> </v>
      </c>
      <c r="D893" s="310"/>
      <c r="E893" s="171" t="str">
        <f>IFERROR(VLOOKUP(E892,Списки!$E:$F,2,0)," ")</f>
        <v xml:space="preserve"> </v>
      </c>
      <c r="F893" s="312"/>
      <c r="G893" s="314"/>
      <c r="H893" s="315"/>
      <c r="I893" s="8"/>
      <c r="J893" s="8"/>
      <c r="K893" s="8"/>
      <c r="L893" s="8"/>
      <c r="M893" s="8"/>
      <c r="N893" s="8"/>
      <c r="O893" s="8"/>
      <c r="P893" s="8"/>
      <c r="Q893" s="8"/>
      <c r="R893" s="8"/>
      <c r="S893" s="8"/>
      <c r="T893" s="82"/>
    </row>
    <row r="894" spans="1:20" ht="13.5" customHeight="1" x14ac:dyDescent="0.25">
      <c r="A894" s="307">
        <v>4</v>
      </c>
      <c r="B894" s="307"/>
      <c r="C894" s="170"/>
      <c r="D894" s="309"/>
      <c r="E894" s="170"/>
      <c r="F894" s="311"/>
      <c r="G894" s="313"/>
      <c r="H894" s="315"/>
      <c r="I894" s="8"/>
      <c r="J894" s="8"/>
      <c r="K894" s="8"/>
      <c r="L894" s="8"/>
      <c r="M894" s="8"/>
      <c r="N894" s="8"/>
      <c r="O894" s="8"/>
      <c r="P894" s="8"/>
      <c r="Q894" s="8"/>
      <c r="R894" s="8"/>
      <c r="S894" s="8"/>
      <c r="T894" s="82"/>
    </row>
    <row r="895" spans="1:20" ht="13.5" customHeight="1" x14ac:dyDescent="0.25">
      <c r="A895" s="308"/>
      <c r="B895" s="308"/>
      <c r="C895" s="171" t="str">
        <f>IFERROR(VLOOKUP(C894,Списки!$E:$F,2,0)," ")</f>
        <v xml:space="preserve"> </v>
      </c>
      <c r="D895" s="310"/>
      <c r="E895" s="171" t="str">
        <f>IFERROR(VLOOKUP(E894,Списки!$E:$F,2,0)," ")</f>
        <v xml:space="preserve"> </v>
      </c>
      <c r="F895" s="312"/>
      <c r="G895" s="314"/>
      <c r="H895" s="315"/>
      <c r="I895" s="8"/>
      <c r="J895" s="8"/>
      <c r="K895" s="8"/>
      <c r="L895" s="8"/>
      <c r="M895" s="8"/>
      <c r="N895" s="8"/>
      <c r="O895" s="8"/>
      <c r="P895" s="8"/>
      <c r="Q895" s="8"/>
      <c r="R895" s="8"/>
      <c r="S895" s="8"/>
      <c r="T895" s="82"/>
    </row>
    <row r="896" spans="1:20" ht="13.5" customHeight="1" x14ac:dyDescent="0.25">
      <c r="A896" s="307">
        <v>5</v>
      </c>
      <c r="B896" s="307"/>
      <c r="C896" s="170"/>
      <c r="D896" s="309"/>
      <c r="E896" s="172"/>
      <c r="F896" s="311"/>
      <c r="G896" s="313"/>
      <c r="H896" s="315"/>
      <c r="I896" s="8"/>
      <c r="J896" s="8"/>
      <c r="K896" s="8"/>
      <c r="L896" s="8"/>
      <c r="M896" s="8"/>
      <c r="N896" s="8"/>
      <c r="O896" s="8"/>
      <c r="P896" s="8"/>
      <c r="Q896" s="8"/>
      <c r="R896" s="8"/>
      <c r="S896" s="8"/>
      <c r="T896" s="82"/>
    </row>
    <row r="897" spans="1:20" ht="13.5" customHeight="1" x14ac:dyDescent="0.25">
      <c r="A897" s="308"/>
      <c r="B897" s="308"/>
      <c r="C897" s="171" t="str">
        <f>IFERROR(VLOOKUP(C896,Списки!$E:$F,2,0)," ")</f>
        <v xml:space="preserve"> </v>
      </c>
      <c r="D897" s="310"/>
      <c r="E897" s="172" t="str">
        <f>IFERROR(VLOOKUP(E896,Списки!$E:$F,2,0)," ")</f>
        <v xml:space="preserve"> </v>
      </c>
      <c r="F897" s="312"/>
      <c r="G897" s="314"/>
      <c r="H897" s="315"/>
      <c r="I897" s="8"/>
      <c r="J897" s="8"/>
      <c r="K897" s="8"/>
      <c r="L897" s="8"/>
      <c r="M897" s="8"/>
      <c r="N897" s="8"/>
      <c r="O897" s="8"/>
      <c r="P897" s="8"/>
      <c r="Q897" s="8"/>
      <c r="R897" s="8"/>
      <c r="S897" s="8"/>
      <c r="T897" s="82"/>
    </row>
    <row r="898" spans="1:20" ht="13.5" customHeight="1" x14ac:dyDescent="0.25">
      <c r="A898" s="307">
        <v>6</v>
      </c>
      <c r="B898" s="307"/>
      <c r="C898" s="170"/>
      <c r="D898" s="309"/>
      <c r="E898" s="170"/>
      <c r="F898" s="311"/>
      <c r="G898" s="313"/>
      <c r="H898" s="315"/>
      <c r="I898" s="8"/>
      <c r="J898" s="8"/>
      <c r="K898" s="8"/>
      <c r="L898" s="8"/>
      <c r="M898" s="8"/>
      <c r="N898" s="8"/>
      <c r="O898" s="8"/>
      <c r="P898" s="8"/>
      <c r="Q898" s="8"/>
      <c r="R898" s="8"/>
      <c r="S898" s="8"/>
      <c r="T898" s="82"/>
    </row>
    <row r="899" spans="1:20" ht="13.5" customHeight="1" x14ac:dyDescent="0.25">
      <c r="A899" s="308"/>
      <c r="B899" s="308"/>
      <c r="C899" s="171" t="str">
        <f>IFERROR(VLOOKUP(C898,Списки!$E:$F,2,0)," ")</f>
        <v xml:space="preserve"> </v>
      </c>
      <c r="D899" s="310"/>
      <c r="E899" s="179" t="str">
        <f>IFERROR(VLOOKUP(E898,Списки!$E:$F,2,0)," ")</f>
        <v xml:space="preserve"> </v>
      </c>
      <c r="F899" s="312"/>
      <c r="G899" s="314"/>
      <c r="H899" s="315"/>
      <c r="I899" s="8"/>
      <c r="J899" s="8"/>
      <c r="K899" s="8"/>
      <c r="L899" s="8"/>
      <c r="M899" s="8"/>
      <c r="N899" s="8"/>
      <c r="O899" s="8"/>
      <c r="P899" s="8"/>
      <c r="Q899" s="8"/>
      <c r="R899" s="8"/>
      <c r="S899" s="8"/>
      <c r="T899" s="82"/>
    </row>
    <row r="900" spans="1:20" ht="13.5" customHeight="1" x14ac:dyDescent="0.25">
      <c r="A900" s="307">
        <v>7</v>
      </c>
      <c r="B900" s="307"/>
      <c r="C900" s="170"/>
      <c r="D900" s="309"/>
      <c r="E900" s="170"/>
      <c r="F900" s="311"/>
      <c r="G900" s="313"/>
      <c r="H900" s="315"/>
      <c r="I900" s="8"/>
      <c r="J900" s="8"/>
      <c r="K900" s="8"/>
      <c r="L900" s="8"/>
      <c r="M900" s="8"/>
      <c r="N900" s="8"/>
      <c r="O900" s="8"/>
      <c r="P900" s="8"/>
      <c r="Q900" s="8"/>
      <c r="R900" s="8"/>
      <c r="S900" s="8"/>
      <c r="T900" s="82"/>
    </row>
    <row r="901" spans="1:20" ht="13.5" customHeight="1" x14ac:dyDescent="0.25">
      <c r="A901" s="308"/>
      <c r="B901" s="308"/>
      <c r="C901" s="179" t="str">
        <f>IFERROR(VLOOKUP(C900,Списки!$E:$F,2,0)," ")</f>
        <v xml:space="preserve"> </v>
      </c>
      <c r="D901" s="310"/>
      <c r="E901" s="171" t="str">
        <f>IFERROR(VLOOKUP(E900,Списки!$E:$F,2,0)," ")</f>
        <v xml:space="preserve"> </v>
      </c>
      <c r="F901" s="312"/>
      <c r="G901" s="314"/>
      <c r="H901" s="315"/>
      <c r="I901" s="8"/>
      <c r="J901" s="8"/>
      <c r="K901" s="8"/>
      <c r="L901" s="8"/>
      <c r="M901" s="8"/>
      <c r="N901" s="8"/>
      <c r="O901" s="8"/>
      <c r="P901" s="8"/>
      <c r="Q901" s="8"/>
      <c r="R901" s="8"/>
      <c r="S901" s="8"/>
      <c r="T901" s="82"/>
    </row>
    <row r="902" spans="1:20" ht="13.5" customHeight="1" x14ac:dyDescent="0.25">
      <c r="A902" s="307">
        <v>8</v>
      </c>
      <c r="B902" s="307"/>
      <c r="C902" s="170"/>
      <c r="D902" s="309"/>
      <c r="E902" s="170"/>
      <c r="F902" s="311"/>
      <c r="G902" s="313"/>
      <c r="H902" s="315"/>
      <c r="I902" s="8"/>
      <c r="J902" s="8"/>
      <c r="K902" s="8"/>
      <c r="L902" s="8"/>
      <c r="M902" s="8"/>
      <c r="N902" s="8"/>
      <c r="O902" s="8"/>
      <c r="P902" s="8"/>
      <c r="Q902" s="8"/>
      <c r="R902" s="8"/>
      <c r="S902" s="8"/>
      <c r="T902" s="82"/>
    </row>
    <row r="903" spans="1:20" ht="13.5" customHeight="1" x14ac:dyDescent="0.25">
      <c r="A903" s="308"/>
      <c r="B903" s="308"/>
      <c r="C903" s="179" t="str">
        <f>IFERROR(VLOOKUP(C902,Списки!$E:$F,2,0)," ")</f>
        <v xml:space="preserve"> </v>
      </c>
      <c r="D903" s="310"/>
      <c r="E903" s="171" t="str">
        <f>IFERROR(VLOOKUP(E902,Списки!$E:$F,2,0)," ")</f>
        <v xml:space="preserve"> </v>
      </c>
      <c r="F903" s="312"/>
      <c r="G903" s="314"/>
      <c r="H903" s="315"/>
      <c r="I903" s="8"/>
      <c r="J903" s="8"/>
      <c r="K903" s="8"/>
      <c r="L903" s="8"/>
      <c r="M903" s="8"/>
      <c r="N903" s="8"/>
      <c r="O903" s="8"/>
      <c r="P903" s="8"/>
      <c r="Q903" s="8"/>
      <c r="R903" s="8"/>
      <c r="S903" s="8"/>
      <c r="T903" s="82"/>
    </row>
    <row r="904" spans="1:20" ht="13.5" customHeight="1" x14ac:dyDescent="0.25">
      <c r="A904" s="307">
        <v>9</v>
      </c>
      <c r="B904" s="307"/>
      <c r="C904" s="170"/>
      <c r="D904" s="309"/>
      <c r="E904" s="170"/>
      <c r="F904" s="311"/>
      <c r="G904" s="313"/>
      <c r="H904" s="315"/>
      <c r="I904" s="8"/>
      <c r="J904" s="8"/>
      <c r="K904" s="8"/>
      <c r="L904" s="8"/>
      <c r="M904" s="8"/>
      <c r="N904" s="8"/>
      <c r="O904" s="8"/>
      <c r="P904" s="8"/>
      <c r="Q904" s="8"/>
      <c r="R904" s="8"/>
      <c r="S904" s="8"/>
      <c r="T904" s="82"/>
    </row>
    <row r="905" spans="1:20" ht="13.5" customHeight="1" x14ac:dyDescent="0.25">
      <c r="A905" s="308"/>
      <c r="B905" s="308"/>
      <c r="C905" s="171" t="str">
        <f>IFERROR(VLOOKUP(C904,Списки!$E:$F,2,0)," ")</f>
        <v xml:space="preserve"> </v>
      </c>
      <c r="D905" s="310"/>
      <c r="E905" s="171" t="str">
        <f>IFERROR(VLOOKUP(E904,Списки!$E:$F,2,0)," ")</f>
        <v xml:space="preserve"> </v>
      </c>
      <c r="F905" s="312"/>
      <c r="G905" s="314"/>
      <c r="H905" s="315"/>
      <c r="I905" s="8"/>
      <c r="J905" s="8"/>
      <c r="K905" s="8"/>
      <c r="L905" s="8"/>
      <c r="M905" s="8"/>
      <c r="N905" s="8"/>
      <c r="O905" s="8"/>
      <c r="P905" s="8"/>
      <c r="Q905" s="8"/>
      <c r="R905" s="8"/>
      <c r="S905" s="8"/>
      <c r="T905" s="82"/>
    </row>
    <row r="906" spans="1:20" ht="13.5" customHeight="1" x14ac:dyDescent="0.25">
      <c r="A906" s="307">
        <v>10</v>
      </c>
      <c r="B906" s="307"/>
      <c r="C906" s="170"/>
      <c r="D906" s="309"/>
      <c r="E906" s="170"/>
      <c r="F906" s="311"/>
      <c r="G906" s="313"/>
      <c r="H906" s="315"/>
      <c r="I906" s="8"/>
      <c r="J906" s="8"/>
      <c r="K906" s="8"/>
      <c r="L906" s="8"/>
      <c r="M906" s="8"/>
      <c r="N906" s="8"/>
      <c r="O906" s="8"/>
      <c r="P906" s="8"/>
      <c r="Q906" s="8"/>
      <c r="R906" s="8"/>
      <c r="S906" s="8"/>
      <c r="T906" s="82"/>
    </row>
    <row r="907" spans="1:20" ht="13.5" customHeight="1" x14ac:dyDescent="0.25">
      <c r="A907" s="308"/>
      <c r="B907" s="308"/>
      <c r="C907" s="171" t="str">
        <f>IFERROR(VLOOKUP(C906,Списки!$E:$F,2,0)," ")</f>
        <v xml:space="preserve"> </v>
      </c>
      <c r="D907" s="310"/>
      <c r="E907" s="171" t="str">
        <f>IFERROR(VLOOKUP(E906,Списки!$E:$F,2,0)," ")</f>
        <v xml:space="preserve"> </v>
      </c>
      <c r="F907" s="312"/>
      <c r="G907" s="314"/>
      <c r="H907" s="315"/>
      <c r="I907" s="8"/>
      <c r="J907" s="8"/>
      <c r="K907" s="8"/>
      <c r="L907" s="8"/>
      <c r="M907" s="8"/>
      <c r="N907" s="8"/>
      <c r="O907" s="8"/>
      <c r="P907" s="8"/>
      <c r="Q907" s="8"/>
      <c r="R907" s="8"/>
      <c r="S907" s="8"/>
      <c r="T907" s="82"/>
    </row>
    <row r="908" spans="1:20" ht="13.5" customHeight="1" x14ac:dyDescent="0.25">
      <c r="A908" s="307">
        <v>11</v>
      </c>
      <c r="B908" s="307"/>
      <c r="C908" s="170"/>
      <c r="D908" s="309"/>
      <c r="E908" s="170"/>
      <c r="F908" s="311"/>
      <c r="G908" s="313"/>
      <c r="H908" s="315"/>
      <c r="I908" s="8"/>
      <c r="J908" s="8"/>
      <c r="K908" s="8"/>
      <c r="L908" s="8"/>
      <c r="M908" s="8"/>
      <c r="N908" s="8"/>
      <c r="O908" s="8"/>
      <c r="P908" s="8"/>
      <c r="Q908" s="8"/>
      <c r="R908" s="8"/>
      <c r="S908" s="8"/>
      <c r="T908" s="82"/>
    </row>
    <row r="909" spans="1:20" ht="13.5" customHeight="1" x14ac:dyDescent="0.25">
      <c r="A909" s="308"/>
      <c r="B909" s="308"/>
      <c r="C909" s="171" t="str">
        <f>IFERROR(VLOOKUP(C908,Списки!$E:$F,2,0)," ")</f>
        <v xml:space="preserve"> </v>
      </c>
      <c r="D909" s="310"/>
      <c r="E909" s="171" t="str">
        <f>IFERROR(VLOOKUP(E908,Списки!$E:$F,2,0)," ")</f>
        <v xml:space="preserve"> </v>
      </c>
      <c r="F909" s="312"/>
      <c r="G909" s="314"/>
      <c r="H909" s="315"/>
      <c r="I909" s="8"/>
      <c r="J909" s="8"/>
      <c r="K909" s="8"/>
      <c r="L909" s="8"/>
      <c r="M909" s="8"/>
      <c r="N909" s="8"/>
      <c r="O909" s="8"/>
      <c r="P909" s="8"/>
      <c r="Q909" s="8"/>
      <c r="R909" s="8"/>
      <c r="S909" s="8"/>
      <c r="T909" s="82"/>
    </row>
    <row r="910" spans="1:20" ht="13.5" customHeight="1" x14ac:dyDescent="0.25">
      <c r="A910" s="307">
        <v>12</v>
      </c>
      <c r="B910" s="307"/>
      <c r="C910" s="170"/>
      <c r="D910" s="309"/>
      <c r="E910" s="170"/>
      <c r="F910" s="311"/>
      <c r="G910" s="313"/>
      <c r="H910" s="315"/>
      <c r="I910" s="8"/>
      <c r="J910" s="8"/>
      <c r="K910" s="8"/>
      <c r="L910" s="8"/>
      <c r="M910" s="8"/>
      <c r="N910" s="8"/>
      <c r="O910" s="8"/>
      <c r="P910" s="8"/>
      <c r="Q910" s="8"/>
      <c r="R910" s="8"/>
      <c r="S910" s="8"/>
      <c r="T910" s="82"/>
    </row>
    <row r="911" spans="1:20" ht="13.5" customHeight="1" x14ac:dyDescent="0.25">
      <c r="A911" s="308"/>
      <c r="B911" s="308"/>
      <c r="C911" s="171" t="str">
        <f>IFERROR(VLOOKUP(C910,Списки!$E:$F,2,0)," ")</f>
        <v xml:space="preserve"> </v>
      </c>
      <c r="D911" s="310"/>
      <c r="E911" s="171" t="str">
        <f>IFERROR(VLOOKUP(E910,Списки!$E:$F,2,0)," ")</f>
        <v xml:space="preserve"> </v>
      </c>
      <c r="F911" s="312"/>
      <c r="G911" s="314"/>
      <c r="H911" s="315"/>
      <c r="I911" s="8"/>
      <c r="J911" s="8"/>
      <c r="K911" s="8"/>
      <c r="L911" s="8"/>
      <c r="M911" s="8"/>
      <c r="N911" s="8"/>
      <c r="O911" s="8"/>
      <c r="P911" s="8"/>
      <c r="Q911" s="8"/>
      <c r="R911" s="8"/>
      <c r="S911" s="8"/>
      <c r="T911" s="82"/>
    </row>
    <row r="912" spans="1:20" ht="13.5" customHeight="1" x14ac:dyDescent="0.25">
      <c r="A912" s="307">
        <v>13</v>
      </c>
      <c r="B912" s="307"/>
      <c r="C912" s="170"/>
      <c r="D912" s="309"/>
      <c r="E912" s="170"/>
      <c r="F912" s="311"/>
      <c r="G912" s="313"/>
      <c r="H912" s="315"/>
      <c r="I912" s="8"/>
      <c r="J912" s="8"/>
      <c r="K912" s="8"/>
      <c r="L912" s="8"/>
      <c r="M912" s="8"/>
      <c r="N912" s="8"/>
      <c r="O912" s="8"/>
      <c r="P912" s="8"/>
      <c r="Q912" s="8"/>
      <c r="R912" s="8"/>
      <c r="S912" s="8"/>
      <c r="T912" s="82"/>
    </row>
    <row r="913" spans="1:20" ht="13.5" customHeight="1" x14ac:dyDescent="0.25">
      <c r="A913" s="308"/>
      <c r="B913" s="308"/>
      <c r="C913" s="171" t="str">
        <f>IFERROR(VLOOKUP(C912,Списки!$E:$F,2,0)," ")</f>
        <v xml:space="preserve"> </v>
      </c>
      <c r="D913" s="310"/>
      <c r="E913" s="171" t="str">
        <f>IFERROR(VLOOKUP(E912,Списки!$E:$F,2,0)," ")</f>
        <v xml:space="preserve"> </v>
      </c>
      <c r="F913" s="312"/>
      <c r="G913" s="314"/>
      <c r="H913" s="315"/>
      <c r="I913" s="8"/>
      <c r="J913" s="8"/>
      <c r="K913" s="8"/>
      <c r="L913" s="8"/>
      <c r="M913" s="8"/>
      <c r="N913" s="8"/>
      <c r="O913" s="8"/>
      <c r="P913" s="8"/>
      <c r="Q913" s="8"/>
      <c r="R913" s="8"/>
      <c r="S913" s="8"/>
      <c r="T913" s="82"/>
    </row>
    <row r="914" spans="1:20" ht="13.5" customHeight="1" x14ac:dyDescent="0.25">
      <c r="A914" s="307">
        <v>14</v>
      </c>
      <c r="B914" s="307"/>
      <c r="C914" s="170"/>
      <c r="D914" s="309"/>
      <c r="E914" s="170"/>
      <c r="F914" s="311"/>
      <c r="G914" s="313"/>
      <c r="H914" s="315"/>
      <c r="I914" s="8"/>
      <c r="J914" s="8"/>
      <c r="K914" s="8"/>
      <c r="L914" s="8"/>
      <c r="M914" s="8"/>
      <c r="N914" s="8"/>
      <c r="O914" s="8"/>
      <c r="P914" s="8"/>
      <c r="Q914" s="8"/>
      <c r="R914" s="8"/>
      <c r="S914" s="8"/>
      <c r="T914" s="82"/>
    </row>
    <row r="915" spans="1:20" ht="13.5" customHeight="1" x14ac:dyDescent="0.25">
      <c r="A915" s="308"/>
      <c r="B915" s="308"/>
      <c r="C915" s="171" t="str">
        <f>IFERROR(VLOOKUP(C914,Списки!$E:$F,2,0)," ")</f>
        <v xml:space="preserve"> </v>
      </c>
      <c r="D915" s="310"/>
      <c r="E915" s="171" t="str">
        <f>IFERROR(VLOOKUP(E914,Списки!$E:$F,2,0)," ")</f>
        <v xml:space="preserve"> </v>
      </c>
      <c r="F915" s="312"/>
      <c r="G915" s="314"/>
      <c r="H915" s="315"/>
      <c r="I915" s="8"/>
      <c r="J915" s="8"/>
      <c r="K915" s="8"/>
      <c r="L915" s="8"/>
      <c r="M915" s="8"/>
      <c r="N915" s="8"/>
      <c r="O915" s="8"/>
      <c r="P915" s="8"/>
      <c r="Q915" s="8"/>
      <c r="R915" s="8"/>
      <c r="S915" s="8"/>
      <c r="T915" s="82"/>
    </row>
    <row r="916" spans="1:20" ht="13.5" customHeight="1" x14ac:dyDescent="0.25">
      <c r="A916" s="307">
        <v>15</v>
      </c>
      <c r="B916" s="307"/>
      <c r="C916" s="170"/>
      <c r="D916" s="309"/>
      <c r="E916" s="170"/>
      <c r="F916" s="311"/>
      <c r="G916" s="313"/>
      <c r="H916" s="315"/>
      <c r="I916" s="8"/>
      <c r="J916" s="8"/>
      <c r="K916" s="8"/>
      <c r="L916" s="8"/>
      <c r="M916" s="8"/>
      <c r="N916" s="8"/>
      <c r="O916" s="8"/>
      <c r="P916" s="8"/>
      <c r="Q916" s="8"/>
      <c r="R916" s="8"/>
      <c r="S916" s="8"/>
      <c r="T916" s="82"/>
    </row>
    <row r="917" spans="1:20" ht="13.5" customHeight="1" x14ac:dyDescent="0.25">
      <c r="A917" s="308"/>
      <c r="B917" s="308"/>
      <c r="C917" s="171" t="str">
        <f>IFERROR(VLOOKUP(C916,Списки!$E:$F,2,0)," ")</f>
        <v xml:space="preserve"> </v>
      </c>
      <c r="D917" s="310"/>
      <c r="E917" s="171" t="str">
        <f>IFERROR(VLOOKUP(E916,Списки!$E:$F,2,0)," ")</f>
        <v xml:space="preserve"> </v>
      </c>
      <c r="F917" s="312"/>
      <c r="G917" s="314"/>
      <c r="H917" s="315"/>
      <c r="I917" s="8"/>
      <c r="J917" s="8"/>
      <c r="K917" s="8"/>
      <c r="L917" s="8"/>
      <c r="M917" s="8"/>
      <c r="N917" s="8"/>
      <c r="O917" s="8"/>
      <c r="P917" s="8"/>
      <c r="Q917" s="8"/>
      <c r="R917" s="8"/>
      <c r="S917" s="8"/>
      <c r="T917" s="82"/>
    </row>
    <row r="918" spans="1:20" x14ac:dyDescent="0.25">
      <c r="A918" s="36"/>
      <c r="B918" s="37"/>
      <c r="C918" s="173"/>
      <c r="D918" s="173"/>
      <c r="E918" s="174" t="s">
        <v>30</v>
      </c>
      <c r="F918" s="39">
        <f>IFERROR(SUM(IFERROR(IF((LOOKUP(9E+307,F888:F917))&gt;$M$39,(LOOKUP(9E+307,F888:F917))-$M$39,IF((LOOKUP(9E+307,F888:F917))&lt;0.166666667,0+(LOOKUP(9E+307,F888:F917))+1-$M$39,0)),0),(IF(AND(IF(D888,$M$38-D888,0)&gt;0,F888,F888&gt;D888),$M$38-D888,IF(AND(D888,F888,D888&gt;F888),"error",0)))),"ОШИБКА")</f>
        <v>0</v>
      </c>
      <c r="G918" s="40" t="s">
        <v>27</v>
      </c>
      <c r="H918" s="38">
        <f>SUM(H888:H917)</f>
        <v>0</v>
      </c>
      <c r="I918" s="8"/>
      <c r="J918" s="8"/>
      <c r="K918" s="8"/>
      <c r="L918" s="8"/>
      <c r="M918" s="8"/>
      <c r="N918" s="8"/>
      <c r="O918" s="8"/>
      <c r="P918" s="8"/>
      <c r="Q918" s="8"/>
      <c r="R918" s="8"/>
      <c r="S918" s="8"/>
      <c r="T918" s="82"/>
    </row>
    <row r="919" spans="1:20" ht="15.75" x14ac:dyDescent="0.25">
      <c r="A919" s="316">
        <f>DATE(K1,J1,28)</f>
        <v>43858</v>
      </c>
      <c r="B919" s="316"/>
      <c r="C919" s="316"/>
      <c r="D919" s="316"/>
      <c r="E919" s="316"/>
      <c r="F919" s="316"/>
      <c r="G919" s="316"/>
      <c r="H919" s="316"/>
      <c r="I919" s="8"/>
      <c r="J919" s="8"/>
      <c r="K919" s="8"/>
      <c r="L919" s="8"/>
      <c r="M919" s="8"/>
      <c r="N919" s="8"/>
      <c r="O919" s="8"/>
      <c r="P919" s="8"/>
      <c r="Q919" s="8"/>
      <c r="R919" s="8"/>
      <c r="S919" s="8"/>
      <c r="T919" s="82"/>
    </row>
    <row r="920" spans="1:20" ht="13.5" customHeight="1" x14ac:dyDescent="0.25">
      <c r="A920" s="318"/>
      <c r="B920" s="320" t="s">
        <v>34</v>
      </c>
      <c r="C920" s="175" t="s">
        <v>39</v>
      </c>
      <c r="D920" s="322" t="s">
        <v>36</v>
      </c>
      <c r="E920" s="175" t="s">
        <v>37</v>
      </c>
      <c r="F920" s="320" t="s">
        <v>36</v>
      </c>
      <c r="G920" s="324" t="s">
        <v>35</v>
      </c>
      <c r="H920" s="315" t="s">
        <v>40</v>
      </c>
      <c r="I920" s="8"/>
      <c r="J920" s="8"/>
      <c r="K920" s="8"/>
      <c r="L920" s="8"/>
      <c r="M920" s="8"/>
      <c r="N920" s="8"/>
      <c r="O920" s="8"/>
      <c r="P920" s="8"/>
      <c r="Q920" s="8"/>
      <c r="R920" s="8"/>
      <c r="S920" s="8"/>
      <c r="T920" s="82"/>
    </row>
    <row r="921" spans="1:20" ht="13.5" customHeight="1" x14ac:dyDescent="0.25">
      <c r="A921" s="319"/>
      <c r="B921" s="321"/>
      <c r="C921" s="169" t="s">
        <v>38</v>
      </c>
      <c r="D921" s="323"/>
      <c r="E921" s="169" t="s">
        <v>38</v>
      </c>
      <c r="F921" s="321"/>
      <c r="G921" s="325"/>
      <c r="H921" s="315"/>
      <c r="I921" s="8"/>
      <c r="J921" s="8"/>
      <c r="K921" s="8"/>
      <c r="L921" s="8"/>
      <c r="M921" s="8"/>
      <c r="N921" s="8"/>
      <c r="O921" s="8"/>
      <c r="P921" s="8"/>
      <c r="Q921" s="8"/>
      <c r="R921" s="8"/>
      <c r="S921" s="8"/>
      <c r="T921" s="82"/>
    </row>
    <row r="922" spans="1:20" ht="13.5" customHeight="1" x14ac:dyDescent="0.25">
      <c r="A922" s="307">
        <v>1</v>
      </c>
      <c r="B922" s="307"/>
      <c r="C922" s="170" t="s">
        <v>43</v>
      </c>
      <c r="D922" s="309"/>
      <c r="E922" s="170" t="s">
        <v>44</v>
      </c>
      <c r="F922" s="311"/>
      <c r="G922" s="313"/>
      <c r="H922" s="315"/>
      <c r="I922" s="8"/>
      <c r="J922" s="8"/>
      <c r="K922" s="8"/>
      <c r="L922" s="8"/>
      <c r="M922" s="8"/>
      <c r="N922" s="8"/>
      <c r="O922" s="8"/>
      <c r="P922" s="8"/>
      <c r="Q922" s="8"/>
      <c r="R922" s="8"/>
      <c r="S922" s="8"/>
      <c r="T922" s="82"/>
    </row>
    <row r="923" spans="1:20" ht="13.5" customHeight="1" x14ac:dyDescent="0.25">
      <c r="A923" s="308"/>
      <c r="B923" s="308"/>
      <c r="C923" s="171" t="str">
        <f>IFERROR(VLOOKUP(C922,Списки!$E:$F,2,0)," ")</f>
        <v>SAVUSHKINA ST 128</v>
      </c>
      <c r="D923" s="310"/>
      <c r="E923" s="171" t="str">
        <f>IFERROR(VLOOKUP(E922,Списки!$E:$F,2,0)," ")</f>
        <v>LEVASHOVSKOE HWY 20</v>
      </c>
      <c r="F923" s="312"/>
      <c r="G923" s="314"/>
      <c r="H923" s="315"/>
      <c r="I923" s="8"/>
      <c r="J923" s="8"/>
      <c r="K923" s="8"/>
      <c r="L923" s="8"/>
      <c r="M923" s="8"/>
      <c r="N923" s="8"/>
      <c r="O923" s="8"/>
      <c r="P923" s="8"/>
      <c r="Q923" s="8"/>
      <c r="R923" s="8"/>
      <c r="S923" s="8"/>
      <c r="T923" s="82"/>
    </row>
    <row r="924" spans="1:20" ht="13.5" customHeight="1" x14ac:dyDescent="0.25">
      <c r="A924" s="307">
        <v>2</v>
      </c>
      <c r="B924" s="307"/>
      <c r="C924" s="170" t="s">
        <v>44</v>
      </c>
      <c r="D924" s="309"/>
      <c r="E924" s="170"/>
      <c r="F924" s="311"/>
      <c r="G924" s="313"/>
      <c r="H924" s="315"/>
      <c r="I924" s="8"/>
      <c r="J924" s="8"/>
      <c r="K924" s="8"/>
      <c r="L924" s="8"/>
      <c r="M924" s="8"/>
      <c r="N924" s="8"/>
      <c r="O924" s="8"/>
      <c r="P924" s="8"/>
      <c r="Q924" s="8"/>
      <c r="R924" s="8"/>
      <c r="S924" s="8"/>
      <c r="T924" s="82"/>
    </row>
    <row r="925" spans="1:20" ht="13.5" customHeight="1" x14ac:dyDescent="0.25">
      <c r="A925" s="308"/>
      <c r="B925" s="308"/>
      <c r="C925" s="171" t="str">
        <f>IFERROR(VLOOKUP(C924,Списки!$E:$F,2,0)," ")</f>
        <v>LEVASHOVSKOE HWY 20</v>
      </c>
      <c r="D925" s="310"/>
      <c r="E925" s="171" t="str">
        <f>IFERROR(VLOOKUP(E924,Списки!$E:$F,2,0)," ")</f>
        <v xml:space="preserve"> </v>
      </c>
      <c r="F925" s="312"/>
      <c r="G925" s="314"/>
      <c r="H925" s="315"/>
      <c r="I925" s="8"/>
      <c r="J925" s="8"/>
      <c r="K925" s="8"/>
      <c r="L925" s="8"/>
      <c r="M925" s="8"/>
      <c r="N925" s="8"/>
      <c r="O925" s="8"/>
      <c r="P925" s="8"/>
      <c r="Q925" s="8"/>
      <c r="R925" s="8"/>
      <c r="S925" s="8"/>
      <c r="T925" s="82"/>
    </row>
    <row r="926" spans="1:20" ht="13.5" customHeight="1" x14ac:dyDescent="0.25">
      <c r="A926" s="307">
        <v>3</v>
      </c>
      <c r="B926" s="307"/>
      <c r="C926" s="170"/>
      <c r="D926" s="309"/>
      <c r="E926" s="170"/>
      <c r="F926" s="311"/>
      <c r="G926" s="313"/>
      <c r="H926" s="315"/>
      <c r="I926" s="8"/>
      <c r="J926" s="8"/>
      <c r="K926" s="8"/>
      <c r="L926" s="8"/>
      <c r="M926" s="8"/>
      <c r="N926" s="8"/>
      <c r="O926" s="8"/>
      <c r="P926" s="8"/>
      <c r="Q926" s="8"/>
      <c r="R926" s="8"/>
      <c r="S926" s="8"/>
      <c r="T926" s="82"/>
    </row>
    <row r="927" spans="1:20" ht="13.5" customHeight="1" x14ac:dyDescent="0.25">
      <c r="A927" s="308"/>
      <c r="B927" s="308"/>
      <c r="C927" s="171" t="str">
        <f>IFERROR(VLOOKUP(C926,Списки!$E:$F,2,0)," ")</f>
        <v xml:space="preserve"> </v>
      </c>
      <c r="D927" s="310"/>
      <c r="E927" s="171" t="str">
        <f>IFERROR(VLOOKUP(E926,Списки!$E:$F,2,0)," ")</f>
        <v xml:space="preserve"> </v>
      </c>
      <c r="F927" s="312"/>
      <c r="G927" s="314"/>
      <c r="H927" s="315"/>
      <c r="I927" s="8"/>
      <c r="J927" s="8"/>
      <c r="K927" s="8"/>
      <c r="L927" s="8"/>
      <c r="M927" s="8"/>
      <c r="N927" s="8"/>
      <c r="O927" s="8"/>
      <c r="P927" s="8"/>
      <c r="Q927" s="8"/>
      <c r="R927" s="8"/>
      <c r="S927" s="8"/>
      <c r="T927" s="82"/>
    </row>
    <row r="928" spans="1:20" ht="13.5" customHeight="1" x14ac:dyDescent="0.25">
      <c r="A928" s="307">
        <v>4</v>
      </c>
      <c r="B928" s="307"/>
      <c r="C928" s="170"/>
      <c r="D928" s="309"/>
      <c r="E928" s="170"/>
      <c r="F928" s="311"/>
      <c r="G928" s="313"/>
      <c r="H928" s="315"/>
      <c r="I928" s="8"/>
      <c r="J928" s="8"/>
      <c r="K928" s="8"/>
      <c r="L928" s="8"/>
      <c r="M928" s="8"/>
      <c r="N928" s="8"/>
      <c r="O928" s="8"/>
      <c r="P928" s="8"/>
      <c r="Q928" s="8"/>
      <c r="R928" s="8"/>
      <c r="S928" s="8"/>
      <c r="T928" s="82"/>
    </row>
    <row r="929" spans="1:20" ht="13.5" customHeight="1" x14ac:dyDescent="0.25">
      <c r="A929" s="308"/>
      <c r="B929" s="308"/>
      <c r="C929" s="171" t="str">
        <f>IFERROR(VLOOKUP(C928,Списки!$E:$F,2,0)," ")</f>
        <v xml:space="preserve"> </v>
      </c>
      <c r="D929" s="310"/>
      <c r="E929" s="171" t="str">
        <f>IFERROR(VLOOKUP(E928,Списки!$E:$F,2,0)," ")</f>
        <v xml:space="preserve"> </v>
      </c>
      <c r="F929" s="312"/>
      <c r="G929" s="314"/>
      <c r="H929" s="315"/>
      <c r="I929" s="8"/>
      <c r="J929" s="8"/>
      <c r="K929" s="8"/>
      <c r="L929" s="8"/>
      <c r="M929" s="8"/>
      <c r="N929" s="8"/>
      <c r="O929" s="8"/>
      <c r="P929" s="8"/>
      <c r="Q929" s="8"/>
      <c r="R929" s="8"/>
      <c r="S929" s="8"/>
      <c r="T929" s="82"/>
    </row>
    <row r="930" spans="1:20" ht="13.5" customHeight="1" x14ac:dyDescent="0.25">
      <c r="A930" s="307">
        <v>5</v>
      </c>
      <c r="B930" s="307"/>
      <c r="C930" s="170"/>
      <c r="D930" s="309"/>
      <c r="E930" s="172"/>
      <c r="F930" s="311"/>
      <c r="G930" s="313"/>
      <c r="H930" s="315"/>
      <c r="I930" s="8"/>
      <c r="J930" s="8"/>
      <c r="K930" s="8"/>
      <c r="L930" s="8"/>
      <c r="M930" s="8"/>
      <c r="N930" s="8"/>
      <c r="O930" s="8"/>
      <c r="P930" s="8"/>
      <c r="Q930" s="8"/>
      <c r="R930" s="8"/>
      <c r="S930" s="8"/>
      <c r="T930" s="82"/>
    </row>
    <row r="931" spans="1:20" ht="13.5" customHeight="1" x14ac:dyDescent="0.25">
      <c r="A931" s="308"/>
      <c r="B931" s="308"/>
      <c r="C931" s="171" t="str">
        <f>IFERROR(VLOOKUP(C930,Списки!$E:$F,2,0)," ")</f>
        <v xml:space="preserve"> </v>
      </c>
      <c r="D931" s="310"/>
      <c r="E931" s="172" t="str">
        <f>IFERROR(VLOOKUP(E930,Списки!$E:$F,2,0)," ")</f>
        <v xml:space="preserve"> </v>
      </c>
      <c r="F931" s="312"/>
      <c r="G931" s="314"/>
      <c r="H931" s="315"/>
      <c r="I931" s="8"/>
      <c r="J931" s="8"/>
      <c r="K931" s="8"/>
      <c r="L931" s="8"/>
      <c r="M931" s="8"/>
      <c r="N931" s="8"/>
      <c r="O931" s="8"/>
      <c r="P931" s="8"/>
      <c r="Q931" s="8"/>
      <c r="R931" s="8"/>
      <c r="S931" s="8"/>
      <c r="T931" s="82"/>
    </row>
    <row r="932" spans="1:20" ht="13.5" customHeight="1" x14ac:dyDescent="0.25">
      <c r="A932" s="307">
        <v>6</v>
      </c>
      <c r="B932" s="307"/>
      <c r="C932" s="170"/>
      <c r="D932" s="309"/>
      <c r="E932" s="170"/>
      <c r="F932" s="311"/>
      <c r="G932" s="313"/>
      <c r="H932" s="315"/>
      <c r="I932" s="8"/>
      <c r="J932" s="8"/>
      <c r="K932" s="8"/>
      <c r="L932" s="8"/>
      <c r="M932" s="8"/>
      <c r="N932" s="8"/>
      <c r="O932" s="8"/>
      <c r="P932" s="8"/>
      <c r="Q932" s="8"/>
      <c r="R932" s="8"/>
      <c r="S932" s="8"/>
      <c r="T932" s="82"/>
    </row>
    <row r="933" spans="1:20" ht="13.5" customHeight="1" x14ac:dyDescent="0.25">
      <c r="A933" s="308"/>
      <c r="B933" s="308"/>
      <c r="C933" s="171" t="str">
        <f>IFERROR(VLOOKUP(C932,Списки!$E:$F,2,0)," ")</f>
        <v xml:space="preserve"> </v>
      </c>
      <c r="D933" s="310"/>
      <c r="E933" s="179" t="str">
        <f>IFERROR(VLOOKUP(E932,Списки!$E:$F,2,0)," ")</f>
        <v xml:space="preserve"> </v>
      </c>
      <c r="F933" s="312"/>
      <c r="G933" s="314"/>
      <c r="H933" s="315"/>
      <c r="I933" s="8"/>
      <c r="J933" s="8"/>
      <c r="K933" s="8"/>
      <c r="L933" s="8"/>
      <c r="M933" s="8"/>
      <c r="N933" s="8"/>
      <c r="O933" s="8"/>
      <c r="P933" s="8"/>
      <c r="Q933" s="8"/>
      <c r="R933" s="8"/>
      <c r="S933" s="8"/>
      <c r="T933" s="82"/>
    </row>
    <row r="934" spans="1:20" ht="13.5" customHeight="1" x14ac:dyDescent="0.25">
      <c r="A934" s="307">
        <v>7</v>
      </c>
      <c r="B934" s="307"/>
      <c r="C934" s="170"/>
      <c r="D934" s="309"/>
      <c r="E934" s="170"/>
      <c r="F934" s="311"/>
      <c r="G934" s="313"/>
      <c r="H934" s="315"/>
      <c r="I934" s="8"/>
      <c r="J934" s="8"/>
      <c r="K934" s="8"/>
      <c r="L934" s="8"/>
      <c r="M934" s="8"/>
      <c r="N934" s="8"/>
      <c r="O934" s="8"/>
      <c r="P934" s="8"/>
      <c r="Q934" s="8"/>
      <c r="R934" s="8"/>
      <c r="S934" s="8"/>
      <c r="T934" s="82"/>
    </row>
    <row r="935" spans="1:20" ht="13.5" customHeight="1" x14ac:dyDescent="0.25">
      <c r="A935" s="308"/>
      <c r="B935" s="308"/>
      <c r="C935" s="179" t="str">
        <f>IFERROR(VLOOKUP(C934,Списки!$E:$F,2,0)," ")</f>
        <v xml:space="preserve"> </v>
      </c>
      <c r="D935" s="310"/>
      <c r="E935" s="171" t="str">
        <f>IFERROR(VLOOKUP(E934,Списки!$E:$F,2,0)," ")</f>
        <v xml:space="preserve"> </v>
      </c>
      <c r="F935" s="312"/>
      <c r="G935" s="314"/>
      <c r="H935" s="315"/>
      <c r="I935" s="8"/>
      <c r="J935" s="8"/>
      <c r="K935" s="8"/>
      <c r="L935" s="8"/>
      <c r="M935" s="8"/>
      <c r="N935" s="8"/>
      <c r="O935" s="8"/>
      <c r="P935" s="8"/>
      <c r="Q935" s="8"/>
      <c r="R935" s="8"/>
      <c r="S935" s="8"/>
      <c r="T935" s="82"/>
    </row>
    <row r="936" spans="1:20" ht="13.5" customHeight="1" x14ac:dyDescent="0.25">
      <c r="A936" s="307">
        <v>8</v>
      </c>
      <c r="B936" s="307"/>
      <c r="C936" s="170"/>
      <c r="D936" s="309"/>
      <c r="E936" s="170"/>
      <c r="F936" s="311"/>
      <c r="G936" s="313"/>
      <c r="H936" s="315"/>
      <c r="I936" s="8"/>
      <c r="J936" s="8"/>
      <c r="K936" s="8"/>
      <c r="L936" s="8"/>
      <c r="M936" s="8"/>
      <c r="N936" s="8"/>
      <c r="O936" s="8"/>
      <c r="P936" s="8"/>
      <c r="Q936" s="8"/>
      <c r="R936" s="8"/>
      <c r="S936" s="8"/>
      <c r="T936" s="82"/>
    </row>
    <row r="937" spans="1:20" ht="13.5" customHeight="1" x14ac:dyDescent="0.25">
      <c r="A937" s="308"/>
      <c r="B937" s="308"/>
      <c r="C937" s="179" t="str">
        <f>IFERROR(VLOOKUP(C936,Списки!$E:$F,2,0)," ")</f>
        <v xml:space="preserve"> </v>
      </c>
      <c r="D937" s="310"/>
      <c r="E937" s="171" t="str">
        <f>IFERROR(VLOOKUP(E936,Списки!$E:$F,2,0)," ")</f>
        <v xml:space="preserve"> </v>
      </c>
      <c r="F937" s="312"/>
      <c r="G937" s="314"/>
      <c r="H937" s="315"/>
      <c r="I937" s="8"/>
      <c r="J937" s="8"/>
      <c r="K937" s="8"/>
      <c r="L937" s="8"/>
      <c r="M937" s="8"/>
      <c r="N937" s="8"/>
      <c r="O937" s="8"/>
      <c r="P937" s="8"/>
      <c r="Q937" s="8"/>
      <c r="R937" s="8"/>
      <c r="S937" s="8"/>
      <c r="T937" s="82"/>
    </row>
    <row r="938" spans="1:20" ht="13.5" customHeight="1" x14ac:dyDescent="0.25">
      <c r="A938" s="307">
        <v>9</v>
      </c>
      <c r="B938" s="307"/>
      <c r="C938" s="170"/>
      <c r="D938" s="309"/>
      <c r="E938" s="170"/>
      <c r="F938" s="311"/>
      <c r="G938" s="313"/>
      <c r="H938" s="315"/>
      <c r="I938" s="8"/>
      <c r="J938" s="8"/>
      <c r="K938" s="8"/>
      <c r="L938" s="8"/>
      <c r="M938" s="8"/>
      <c r="N938" s="8"/>
      <c r="O938" s="8"/>
      <c r="P938" s="8"/>
      <c r="Q938" s="8"/>
      <c r="R938" s="8"/>
      <c r="S938" s="8"/>
      <c r="T938" s="82"/>
    </row>
    <row r="939" spans="1:20" ht="13.5" customHeight="1" x14ac:dyDescent="0.25">
      <c r="A939" s="308"/>
      <c r="B939" s="308"/>
      <c r="C939" s="171" t="str">
        <f>IFERROR(VLOOKUP(C938,Списки!$E:$F,2,0)," ")</f>
        <v xml:space="preserve"> </v>
      </c>
      <c r="D939" s="310"/>
      <c r="E939" s="171" t="str">
        <f>IFERROR(VLOOKUP(E938,Списки!$E:$F,2,0)," ")</f>
        <v xml:space="preserve"> </v>
      </c>
      <c r="F939" s="312"/>
      <c r="G939" s="314"/>
      <c r="H939" s="315"/>
      <c r="I939" s="8"/>
      <c r="J939" s="8"/>
      <c r="K939" s="8"/>
      <c r="L939" s="8"/>
      <c r="M939" s="8"/>
      <c r="N939" s="8"/>
      <c r="O939" s="8"/>
      <c r="P939" s="8"/>
      <c r="Q939" s="8"/>
      <c r="R939" s="8"/>
      <c r="S939" s="8"/>
      <c r="T939" s="82"/>
    </row>
    <row r="940" spans="1:20" ht="13.5" customHeight="1" x14ac:dyDescent="0.25">
      <c r="A940" s="307">
        <v>10</v>
      </c>
      <c r="B940" s="307"/>
      <c r="C940" s="170"/>
      <c r="D940" s="309"/>
      <c r="E940" s="170"/>
      <c r="F940" s="311"/>
      <c r="G940" s="313"/>
      <c r="H940" s="315"/>
      <c r="I940" s="8"/>
      <c r="J940" s="8"/>
      <c r="K940" s="8"/>
      <c r="L940" s="8"/>
      <c r="M940" s="8"/>
      <c r="N940" s="8"/>
      <c r="O940" s="8"/>
      <c r="P940" s="8"/>
      <c r="Q940" s="8"/>
      <c r="R940" s="8"/>
      <c r="S940" s="8"/>
      <c r="T940" s="82"/>
    </row>
    <row r="941" spans="1:20" ht="13.5" customHeight="1" x14ac:dyDescent="0.25">
      <c r="A941" s="308"/>
      <c r="B941" s="308"/>
      <c r="C941" s="171" t="str">
        <f>IFERROR(VLOOKUP(C940,Списки!$E:$F,2,0)," ")</f>
        <v xml:space="preserve"> </v>
      </c>
      <c r="D941" s="310"/>
      <c r="E941" s="171" t="str">
        <f>IFERROR(VLOOKUP(E940,Списки!$E:$F,2,0)," ")</f>
        <v xml:space="preserve"> </v>
      </c>
      <c r="F941" s="312"/>
      <c r="G941" s="314"/>
      <c r="H941" s="315"/>
      <c r="I941" s="8"/>
      <c r="J941" s="8"/>
      <c r="K941" s="8"/>
      <c r="L941" s="8"/>
      <c r="M941" s="8"/>
      <c r="N941" s="8"/>
      <c r="O941" s="8"/>
      <c r="P941" s="8"/>
      <c r="Q941" s="8"/>
      <c r="R941" s="8"/>
      <c r="S941" s="8"/>
      <c r="T941" s="82"/>
    </row>
    <row r="942" spans="1:20" ht="13.5" customHeight="1" x14ac:dyDescent="0.25">
      <c r="A942" s="307">
        <v>11</v>
      </c>
      <c r="B942" s="307"/>
      <c r="C942" s="170"/>
      <c r="D942" s="309"/>
      <c r="E942" s="170"/>
      <c r="F942" s="311"/>
      <c r="G942" s="313"/>
      <c r="H942" s="315"/>
      <c r="I942" s="8"/>
      <c r="J942" s="8"/>
      <c r="K942" s="8"/>
      <c r="L942" s="8"/>
      <c r="M942" s="8"/>
      <c r="N942" s="8"/>
      <c r="O942" s="8"/>
      <c r="P942" s="8"/>
      <c r="Q942" s="8"/>
      <c r="R942" s="8"/>
      <c r="S942" s="8"/>
      <c r="T942" s="82"/>
    </row>
    <row r="943" spans="1:20" ht="13.5" customHeight="1" x14ac:dyDescent="0.25">
      <c r="A943" s="308"/>
      <c r="B943" s="308"/>
      <c r="C943" s="171" t="str">
        <f>IFERROR(VLOOKUP(C942,Списки!$E:$F,2,0)," ")</f>
        <v xml:space="preserve"> </v>
      </c>
      <c r="D943" s="310"/>
      <c r="E943" s="171" t="str">
        <f>IFERROR(VLOOKUP(E942,Списки!$E:$F,2,0)," ")</f>
        <v xml:space="preserve"> </v>
      </c>
      <c r="F943" s="312"/>
      <c r="G943" s="314"/>
      <c r="H943" s="315"/>
      <c r="I943" s="8"/>
      <c r="J943" s="8"/>
      <c r="K943" s="8"/>
      <c r="L943" s="8"/>
      <c r="M943" s="8"/>
      <c r="N943" s="8"/>
      <c r="O943" s="8"/>
      <c r="P943" s="8"/>
      <c r="Q943" s="8"/>
      <c r="R943" s="8"/>
      <c r="S943" s="8"/>
      <c r="T943" s="82"/>
    </row>
    <row r="944" spans="1:20" ht="13.5" customHeight="1" x14ac:dyDescent="0.25">
      <c r="A944" s="307">
        <v>12</v>
      </c>
      <c r="B944" s="307"/>
      <c r="C944" s="170"/>
      <c r="D944" s="309"/>
      <c r="E944" s="170"/>
      <c r="F944" s="311"/>
      <c r="G944" s="313"/>
      <c r="H944" s="315"/>
      <c r="I944" s="8"/>
      <c r="J944" s="8"/>
      <c r="K944" s="8"/>
      <c r="L944" s="8"/>
      <c r="M944" s="8"/>
      <c r="N944" s="8"/>
      <c r="O944" s="8"/>
      <c r="P944" s="8"/>
      <c r="Q944" s="8"/>
      <c r="R944" s="8"/>
      <c r="S944" s="8"/>
      <c r="T944" s="82"/>
    </row>
    <row r="945" spans="1:20" ht="13.5" customHeight="1" x14ac:dyDescent="0.25">
      <c r="A945" s="308"/>
      <c r="B945" s="308"/>
      <c r="C945" s="171" t="str">
        <f>IFERROR(VLOOKUP(C944,Списки!$E:$F,2,0)," ")</f>
        <v xml:space="preserve"> </v>
      </c>
      <c r="D945" s="310"/>
      <c r="E945" s="171" t="str">
        <f>IFERROR(VLOOKUP(E944,Списки!$E:$F,2,0)," ")</f>
        <v xml:space="preserve"> </v>
      </c>
      <c r="F945" s="312"/>
      <c r="G945" s="314"/>
      <c r="H945" s="315"/>
      <c r="I945" s="8"/>
      <c r="J945" s="8"/>
      <c r="K945" s="8"/>
      <c r="L945" s="8"/>
      <c r="M945" s="8"/>
      <c r="N945" s="8"/>
      <c r="O945" s="8"/>
      <c r="P945" s="8"/>
      <c r="Q945" s="8"/>
      <c r="R945" s="8"/>
      <c r="S945" s="8"/>
      <c r="T945" s="82"/>
    </row>
    <row r="946" spans="1:20" ht="13.5" customHeight="1" x14ac:dyDescent="0.25">
      <c r="A946" s="307">
        <v>13</v>
      </c>
      <c r="B946" s="307"/>
      <c r="C946" s="170"/>
      <c r="D946" s="309"/>
      <c r="E946" s="170"/>
      <c r="F946" s="311"/>
      <c r="G946" s="313"/>
      <c r="H946" s="315"/>
      <c r="I946" s="8"/>
      <c r="J946" s="8"/>
      <c r="K946" s="8"/>
      <c r="L946" s="8"/>
      <c r="M946" s="8"/>
      <c r="N946" s="8"/>
      <c r="O946" s="8"/>
      <c r="P946" s="8"/>
      <c r="Q946" s="8"/>
      <c r="R946" s="8"/>
      <c r="S946" s="8"/>
      <c r="T946" s="82"/>
    </row>
    <row r="947" spans="1:20" ht="13.5" customHeight="1" x14ac:dyDescent="0.25">
      <c r="A947" s="308"/>
      <c r="B947" s="308"/>
      <c r="C947" s="171" t="str">
        <f>IFERROR(VLOOKUP(C946,Списки!$E:$F,2,0)," ")</f>
        <v xml:space="preserve"> </v>
      </c>
      <c r="D947" s="310"/>
      <c r="E947" s="171" t="str">
        <f>IFERROR(VLOOKUP(E946,Списки!$E:$F,2,0)," ")</f>
        <v xml:space="preserve"> </v>
      </c>
      <c r="F947" s="312"/>
      <c r="G947" s="314"/>
      <c r="H947" s="315"/>
      <c r="I947" s="8"/>
      <c r="J947" s="8"/>
      <c r="K947" s="8"/>
      <c r="L947" s="8"/>
      <c r="M947" s="8"/>
      <c r="N947" s="8"/>
      <c r="O947" s="8"/>
      <c r="P947" s="8"/>
      <c r="Q947" s="8"/>
      <c r="R947" s="8"/>
      <c r="S947" s="8"/>
      <c r="T947" s="82"/>
    </row>
    <row r="948" spans="1:20" ht="13.5" customHeight="1" x14ac:dyDescent="0.25">
      <c r="A948" s="307">
        <v>14</v>
      </c>
      <c r="B948" s="307"/>
      <c r="C948" s="170"/>
      <c r="D948" s="309"/>
      <c r="E948" s="170"/>
      <c r="F948" s="311"/>
      <c r="G948" s="313"/>
      <c r="H948" s="315"/>
      <c r="I948" s="8"/>
      <c r="J948" s="8"/>
      <c r="K948" s="8"/>
      <c r="L948" s="8"/>
      <c r="M948" s="8"/>
      <c r="N948" s="8"/>
      <c r="O948" s="8"/>
      <c r="P948" s="8"/>
      <c r="Q948" s="8"/>
      <c r="R948" s="8"/>
      <c r="S948" s="8"/>
      <c r="T948" s="82"/>
    </row>
    <row r="949" spans="1:20" ht="13.5" customHeight="1" x14ac:dyDescent="0.25">
      <c r="A949" s="308"/>
      <c r="B949" s="308"/>
      <c r="C949" s="171" t="str">
        <f>IFERROR(VLOOKUP(C948,Списки!$E:$F,2,0)," ")</f>
        <v xml:space="preserve"> </v>
      </c>
      <c r="D949" s="310"/>
      <c r="E949" s="171" t="str">
        <f>IFERROR(VLOOKUP(E948,Списки!$E:$F,2,0)," ")</f>
        <v xml:space="preserve"> </v>
      </c>
      <c r="F949" s="312"/>
      <c r="G949" s="314"/>
      <c r="H949" s="315"/>
      <c r="I949" s="8"/>
      <c r="J949" s="8"/>
      <c r="K949" s="8"/>
      <c r="L949" s="8"/>
      <c r="M949" s="8"/>
      <c r="N949" s="8"/>
      <c r="O949" s="8"/>
      <c r="P949" s="8"/>
      <c r="Q949" s="8"/>
      <c r="R949" s="8"/>
      <c r="S949" s="8"/>
      <c r="T949" s="82"/>
    </row>
    <row r="950" spans="1:20" ht="13.5" customHeight="1" x14ac:dyDescent="0.25">
      <c r="A950" s="307">
        <v>15</v>
      </c>
      <c r="B950" s="307"/>
      <c r="C950" s="170"/>
      <c r="D950" s="309"/>
      <c r="E950" s="170"/>
      <c r="F950" s="311"/>
      <c r="G950" s="313"/>
      <c r="H950" s="315"/>
      <c r="I950" s="8"/>
      <c r="J950" s="8"/>
      <c r="K950" s="8"/>
      <c r="L950" s="8"/>
      <c r="M950" s="8"/>
      <c r="N950" s="8"/>
      <c r="O950" s="8"/>
      <c r="P950" s="8"/>
      <c r="Q950" s="8"/>
      <c r="R950" s="8"/>
      <c r="S950" s="8"/>
      <c r="T950" s="82"/>
    </row>
    <row r="951" spans="1:20" ht="13.5" customHeight="1" x14ac:dyDescent="0.25">
      <c r="A951" s="308"/>
      <c r="B951" s="308"/>
      <c r="C951" s="171" t="str">
        <f>IFERROR(VLOOKUP(C950,Списки!$E:$F,2,0)," ")</f>
        <v xml:space="preserve"> </v>
      </c>
      <c r="D951" s="310"/>
      <c r="E951" s="171" t="str">
        <f>IFERROR(VLOOKUP(E950,Списки!$E:$F,2,0)," ")</f>
        <v xml:space="preserve"> </v>
      </c>
      <c r="F951" s="312"/>
      <c r="G951" s="314"/>
      <c r="H951" s="315"/>
      <c r="I951" s="8"/>
      <c r="J951" s="8"/>
      <c r="K951" s="8"/>
      <c r="L951" s="8"/>
      <c r="M951" s="8"/>
      <c r="N951" s="8"/>
      <c r="O951" s="8"/>
      <c r="P951" s="8"/>
      <c r="Q951" s="8"/>
      <c r="R951" s="8"/>
      <c r="S951" s="8"/>
      <c r="T951" s="82"/>
    </row>
    <row r="952" spans="1:20" x14ac:dyDescent="0.25">
      <c r="A952" s="36"/>
      <c r="B952" s="37"/>
      <c r="C952" s="173"/>
      <c r="D952" s="173"/>
      <c r="E952" s="174" t="s">
        <v>30</v>
      </c>
      <c r="F952" s="39">
        <f>IFERROR(SUM(IFERROR(IF((LOOKUP(9E+307,F922:F951))&gt;$M$39,(LOOKUP(9E+307,F922:F951))-$M$39,IF((LOOKUP(9E+307,F922:F951))&lt;0.166666667,0+(LOOKUP(9E+307,F922:F951))+1-$M$39,0)),0),(IF(AND(IF(D922,$M$38-D922,0)&gt;0,F922,F922&gt;D922),$M$38-D922,IF(AND(D922,F922,D922&gt;F922),"error",0)))),"ОШИБКА")</f>
        <v>0</v>
      </c>
      <c r="G952" s="40" t="s">
        <v>27</v>
      </c>
      <c r="H952" s="38">
        <f>SUM(H922:H951)</f>
        <v>0</v>
      </c>
      <c r="I952" s="8"/>
      <c r="J952" s="8"/>
      <c r="K952" s="8"/>
      <c r="L952" s="8"/>
      <c r="M952" s="8"/>
      <c r="N952" s="8"/>
      <c r="O952" s="8"/>
      <c r="P952" s="8"/>
      <c r="Q952" s="8"/>
      <c r="R952" s="8"/>
      <c r="S952" s="8"/>
      <c r="T952" s="82"/>
    </row>
    <row r="953" spans="1:20" ht="15.75" x14ac:dyDescent="0.25">
      <c r="A953" s="316">
        <f>DATE(K1,J1,29)</f>
        <v>43859</v>
      </c>
      <c r="B953" s="316"/>
      <c r="C953" s="316"/>
      <c r="D953" s="316"/>
      <c r="E953" s="316"/>
      <c r="F953" s="316"/>
      <c r="G953" s="316"/>
      <c r="H953" s="316"/>
      <c r="I953" s="8"/>
      <c r="J953" s="8"/>
      <c r="K953" s="8"/>
      <c r="L953" s="8"/>
      <c r="M953" s="8"/>
      <c r="N953" s="8"/>
      <c r="O953" s="8"/>
      <c r="P953" s="8"/>
      <c r="Q953" s="8"/>
      <c r="R953" s="8"/>
      <c r="S953" s="8"/>
      <c r="T953" s="82"/>
    </row>
    <row r="954" spans="1:20" ht="13.5" customHeight="1" x14ac:dyDescent="0.25">
      <c r="A954" s="318"/>
      <c r="B954" s="320" t="s">
        <v>34</v>
      </c>
      <c r="C954" s="175" t="s">
        <v>39</v>
      </c>
      <c r="D954" s="322" t="s">
        <v>36</v>
      </c>
      <c r="E954" s="175" t="s">
        <v>37</v>
      </c>
      <c r="F954" s="320" t="s">
        <v>36</v>
      </c>
      <c r="G954" s="324" t="s">
        <v>35</v>
      </c>
      <c r="H954" s="315" t="s">
        <v>40</v>
      </c>
      <c r="I954" s="8"/>
      <c r="J954" s="8"/>
      <c r="K954" s="8"/>
      <c r="L954" s="8"/>
      <c r="M954" s="8"/>
      <c r="N954" s="8"/>
      <c r="O954" s="8"/>
      <c r="P954" s="8"/>
      <c r="Q954" s="8"/>
      <c r="R954" s="8"/>
      <c r="S954" s="8"/>
      <c r="T954" s="82"/>
    </row>
    <row r="955" spans="1:20" ht="13.5" customHeight="1" x14ac:dyDescent="0.25">
      <c r="A955" s="319"/>
      <c r="B955" s="321"/>
      <c r="C955" s="169" t="s">
        <v>38</v>
      </c>
      <c r="D955" s="323"/>
      <c r="E955" s="169" t="s">
        <v>38</v>
      </c>
      <c r="F955" s="321"/>
      <c r="G955" s="325"/>
      <c r="H955" s="315"/>
      <c r="I955" s="8"/>
      <c r="J955" s="8"/>
      <c r="K955" s="8"/>
      <c r="L955" s="8"/>
      <c r="M955" s="8"/>
      <c r="N955" s="8"/>
      <c r="O955" s="8"/>
      <c r="P955" s="8"/>
      <c r="Q955" s="8"/>
      <c r="R955" s="8"/>
      <c r="S955" s="8"/>
      <c r="T955" s="82"/>
    </row>
    <row r="956" spans="1:20" ht="13.5" customHeight="1" x14ac:dyDescent="0.25">
      <c r="A956" s="307">
        <v>1</v>
      </c>
      <c r="B956" s="307"/>
      <c r="C956" s="170" t="s">
        <v>43</v>
      </c>
      <c r="D956" s="309"/>
      <c r="E956" s="170" t="s">
        <v>44</v>
      </c>
      <c r="F956" s="311"/>
      <c r="G956" s="313"/>
      <c r="H956" s="315"/>
      <c r="I956" s="8"/>
      <c r="J956" s="8"/>
      <c r="K956" s="8"/>
      <c r="L956" s="8"/>
      <c r="M956" s="8"/>
      <c r="N956" s="8"/>
      <c r="O956" s="8"/>
      <c r="P956" s="8"/>
      <c r="Q956" s="8"/>
      <c r="R956" s="8"/>
      <c r="S956" s="8"/>
      <c r="T956" s="82"/>
    </row>
    <row r="957" spans="1:20" ht="13.5" customHeight="1" x14ac:dyDescent="0.25">
      <c r="A957" s="308"/>
      <c r="B957" s="308"/>
      <c r="C957" s="171" t="str">
        <f>IFERROR(VLOOKUP(C956,Списки!$E:$F,2,0)," ")</f>
        <v>SAVUSHKINA ST 128</v>
      </c>
      <c r="D957" s="310"/>
      <c r="E957" s="171" t="str">
        <f>IFERROR(VLOOKUP(E956,Списки!$E:$F,2,0)," ")</f>
        <v>LEVASHOVSKOE HWY 20</v>
      </c>
      <c r="F957" s="312"/>
      <c r="G957" s="314"/>
      <c r="H957" s="315"/>
      <c r="I957" s="8"/>
      <c r="J957" s="8"/>
      <c r="K957" s="8"/>
      <c r="L957" s="8"/>
      <c r="M957" s="8"/>
      <c r="N957" s="8"/>
      <c r="O957" s="8"/>
      <c r="P957" s="8"/>
      <c r="Q957" s="8"/>
      <c r="R957" s="8"/>
      <c r="S957" s="8"/>
      <c r="T957" s="82"/>
    </row>
    <row r="958" spans="1:20" ht="13.5" customHeight="1" x14ac:dyDescent="0.25">
      <c r="A958" s="307">
        <v>2</v>
      </c>
      <c r="B958" s="307"/>
      <c r="C958" s="170" t="s">
        <v>44</v>
      </c>
      <c r="D958" s="309"/>
      <c r="E958" s="170"/>
      <c r="F958" s="311"/>
      <c r="G958" s="313"/>
      <c r="H958" s="315"/>
      <c r="I958" s="8"/>
      <c r="J958" s="8"/>
      <c r="K958" s="8"/>
      <c r="L958" s="8"/>
      <c r="M958" s="8"/>
      <c r="N958" s="8"/>
      <c r="O958" s="8"/>
      <c r="P958" s="8"/>
      <c r="Q958" s="8"/>
      <c r="R958" s="8"/>
      <c r="S958" s="8"/>
      <c r="T958" s="82"/>
    </row>
    <row r="959" spans="1:20" ht="13.5" customHeight="1" x14ac:dyDescent="0.25">
      <c r="A959" s="308"/>
      <c r="B959" s="308"/>
      <c r="C959" s="171" t="str">
        <f>IFERROR(VLOOKUP(C958,Списки!$E:$F,2,0)," ")</f>
        <v>LEVASHOVSKOE HWY 20</v>
      </c>
      <c r="D959" s="310"/>
      <c r="E959" s="171" t="str">
        <f>IFERROR(VLOOKUP(E958,Списки!$E:$F,2,0)," ")</f>
        <v xml:space="preserve"> </v>
      </c>
      <c r="F959" s="312"/>
      <c r="G959" s="314"/>
      <c r="H959" s="315"/>
      <c r="I959" s="8"/>
      <c r="J959" s="8"/>
      <c r="K959" s="8"/>
      <c r="L959" s="8"/>
      <c r="M959" s="8"/>
      <c r="N959" s="8"/>
      <c r="O959" s="8"/>
      <c r="P959" s="8"/>
      <c r="Q959" s="8"/>
      <c r="R959" s="8"/>
      <c r="S959" s="8"/>
      <c r="T959" s="82"/>
    </row>
    <row r="960" spans="1:20" ht="13.5" customHeight="1" x14ac:dyDescent="0.25">
      <c r="A960" s="307">
        <v>3</v>
      </c>
      <c r="B960" s="307"/>
      <c r="C960" s="170"/>
      <c r="D960" s="309"/>
      <c r="E960" s="170"/>
      <c r="F960" s="311"/>
      <c r="G960" s="313"/>
      <c r="H960" s="315"/>
      <c r="I960" s="8"/>
      <c r="J960" s="8"/>
      <c r="K960" s="8"/>
      <c r="L960" s="8"/>
      <c r="M960" s="8"/>
      <c r="N960" s="8"/>
      <c r="O960" s="8"/>
      <c r="P960" s="8"/>
      <c r="Q960" s="8"/>
      <c r="R960" s="8"/>
      <c r="S960" s="8"/>
      <c r="T960" s="82"/>
    </row>
    <row r="961" spans="1:20" ht="13.5" customHeight="1" x14ac:dyDescent="0.25">
      <c r="A961" s="308"/>
      <c r="B961" s="308"/>
      <c r="C961" s="171" t="str">
        <f>IFERROR(VLOOKUP(C960,Списки!$E:$F,2,0)," ")</f>
        <v xml:space="preserve"> </v>
      </c>
      <c r="D961" s="310"/>
      <c r="E961" s="171" t="str">
        <f>IFERROR(VLOOKUP(E960,Списки!$E:$F,2,0)," ")</f>
        <v xml:space="preserve"> </v>
      </c>
      <c r="F961" s="312"/>
      <c r="G961" s="314"/>
      <c r="H961" s="315"/>
      <c r="I961" s="8"/>
      <c r="J961" s="8"/>
      <c r="K961" s="8"/>
      <c r="L961" s="8"/>
      <c r="M961" s="8"/>
      <c r="N961" s="8"/>
      <c r="O961" s="8"/>
      <c r="P961" s="8"/>
      <c r="Q961" s="8"/>
      <c r="R961" s="8"/>
      <c r="S961" s="8"/>
      <c r="T961" s="82"/>
    </row>
    <row r="962" spans="1:20" ht="13.5" customHeight="1" x14ac:dyDescent="0.25">
      <c r="A962" s="307">
        <v>4</v>
      </c>
      <c r="B962" s="307"/>
      <c r="C962" s="170"/>
      <c r="D962" s="309"/>
      <c r="E962" s="170"/>
      <c r="F962" s="311"/>
      <c r="G962" s="313"/>
      <c r="H962" s="315"/>
      <c r="I962" s="8"/>
      <c r="J962" s="8"/>
      <c r="K962" s="8"/>
      <c r="L962" s="8"/>
      <c r="M962" s="8"/>
      <c r="N962" s="8"/>
      <c r="O962" s="8"/>
      <c r="P962" s="8"/>
      <c r="Q962" s="8"/>
      <c r="R962" s="8"/>
      <c r="S962" s="8"/>
      <c r="T962" s="82"/>
    </row>
    <row r="963" spans="1:20" ht="13.5" customHeight="1" x14ac:dyDescent="0.25">
      <c r="A963" s="308"/>
      <c r="B963" s="308"/>
      <c r="C963" s="171" t="str">
        <f>IFERROR(VLOOKUP(C962,Списки!$E:$F,2,0)," ")</f>
        <v xml:space="preserve"> </v>
      </c>
      <c r="D963" s="310"/>
      <c r="E963" s="171" t="str">
        <f>IFERROR(VLOOKUP(E962,Списки!$E:$F,2,0)," ")</f>
        <v xml:space="preserve"> </v>
      </c>
      <c r="F963" s="312"/>
      <c r="G963" s="314"/>
      <c r="H963" s="315"/>
      <c r="I963" s="8"/>
      <c r="J963" s="8"/>
      <c r="K963" s="8"/>
      <c r="L963" s="8"/>
      <c r="M963" s="8"/>
      <c r="N963" s="8"/>
      <c r="O963" s="8"/>
      <c r="P963" s="8"/>
      <c r="Q963" s="8"/>
      <c r="R963" s="8"/>
      <c r="S963" s="8"/>
      <c r="T963" s="82"/>
    </row>
    <row r="964" spans="1:20" ht="13.5" customHeight="1" x14ac:dyDescent="0.25">
      <c r="A964" s="307">
        <v>5</v>
      </c>
      <c r="B964" s="307"/>
      <c r="C964" s="170"/>
      <c r="D964" s="309"/>
      <c r="E964" s="172"/>
      <c r="F964" s="311"/>
      <c r="G964" s="313"/>
      <c r="H964" s="315"/>
      <c r="I964" s="8"/>
      <c r="J964" s="8"/>
      <c r="K964" s="8"/>
      <c r="L964" s="8"/>
      <c r="M964" s="8"/>
      <c r="N964" s="8"/>
      <c r="O964" s="8"/>
      <c r="P964" s="8"/>
      <c r="Q964" s="8"/>
      <c r="R964" s="8"/>
      <c r="S964" s="8"/>
      <c r="T964" s="82"/>
    </row>
    <row r="965" spans="1:20" ht="13.5" customHeight="1" x14ac:dyDescent="0.25">
      <c r="A965" s="308"/>
      <c r="B965" s="308"/>
      <c r="C965" s="171" t="str">
        <f>IFERROR(VLOOKUP(C964,Списки!$E:$F,2,0)," ")</f>
        <v xml:space="preserve"> </v>
      </c>
      <c r="D965" s="310"/>
      <c r="E965" s="172" t="str">
        <f>IFERROR(VLOOKUP(E964,Списки!$E:$F,2,0)," ")</f>
        <v xml:space="preserve"> </v>
      </c>
      <c r="F965" s="312"/>
      <c r="G965" s="314"/>
      <c r="H965" s="315"/>
      <c r="I965" s="8"/>
      <c r="J965" s="8"/>
      <c r="K965" s="8"/>
      <c r="L965" s="8"/>
      <c r="M965" s="8"/>
      <c r="N965" s="8"/>
      <c r="O965" s="8"/>
      <c r="P965" s="8"/>
      <c r="Q965" s="8"/>
      <c r="R965" s="8"/>
      <c r="S965" s="8"/>
      <c r="T965" s="82"/>
    </row>
    <row r="966" spans="1:20" ht="13.5" customHeight="1" x14ac:dyDescent="0.25">
      <c r="A966" s="307">
        <v>6</v>
      </c>
      <c r="B966" s="307"/>
      <c r="C966" s="170"/>
      <c r="D966" s="309"/>
      <c r="E966" s="170"/>
      <c r="F966" s="311"/>
      <c r="G966" s="313"/>
      <c r="H966" s="315"/>
      <c r="I966" s="8"/>
      <c r="J966" s="8"/>
      <c r="K966" s="8"/>
      <c r="L966" s="8"/>
      <c r="M966" s="8"/>
      <c r="N966" s="8"/>
      <c r="O966" s="8"/>
      <c r="P966" s="8"/>
      <c r="Q966" s="8"/>
      <c r="R966" s="8"/>
      <c r="S966" s="8"/>
      <c r="T966" s="82"/>
    </row>
    <row r="967" spans="1:20" ht="13.5" customHeight="1" x14ac:dyDescent="0.25">
      <c r="A967" s="308"/>
      <c r="B967" s="308"/>
      <c r="C967" s="171" t="str">
        <f>IFERROR(VLOOKUP(C966,Списки!$E:$F,2,0)," ")</f>
        <v xml:space="preserve"> </v>
      </c>
      <c r="D967" s="310"/>
      <c r="E967" s="179" t="str">
        <f>IFERROR(VLOOKUP(E966,Списки!$E:$F,2,0)," ")</f>
        <v xml:space="preserve"> </v>
      </c>
      <c r="F967" s="312"/>
      <c r="G967" s="314"/>
      <c r="H967" s="315"/>
      <c r="I967" s="8"/>
      <c r="J967" s="8"/>
      <c r="K967" s="8"/>
      <c r="L967" s="8"/>
      <c r="M967" s="8"/>
      <c r="N967" s="8"/>
      <c r="O967" s="8"/>
      <c r="P967" s="8"/>
      <c r="Q967" s="8"/>
      <c r="R967" s="8"/>
      <c r="S967" s="8"/>
      <c r="T967" s="82"/>
    </row>
    <row r="968" spans="1:20" ht="13.5" customHeight="1" x14ac:dyDescent="0.25">
      <c r="A968" s="307">
        <v>7</v>
      </c>
      <c r="B968" s="307"/>
      <c r="C968" s="170"/>
      <c r="D968" s="309"/>
      <c r="E968" s="170"/>
      <c r="F968" s="311"/>
      <c r="G968" s="313"/>
      <c r="H968" s="315"/>
      <c r="I968" s="8"/>
      <c r="J968" s="8"/>
      <c r="K968" s="8"/>
      <c r="L968" s="8"/>
      <c r="M968" s="8"/>
      <c r="N968" s="8"/>
      <c r="O968" s="8"/>
      <c r="P968" s="8"/>
      <c r="Q968" s="8"/>
      <c r="R968" s="8"/>
      <c r="S968" s="8"/>
      <c r="T968" s="82"/>
    </row>
    <row r="969" spans="1:20" ht="13.5" customHeight="1" x14ac:dyDescent="0.25">
      <c r="A969" s="308"/>
      <c r="B969" s="308"/>
      <c r="C969" s="179" t="str">
        <f>IFERROR(VLOOKUP(C968,Списки!$E:$F,2,0)," ")</f>
        <v xml:space="preserve"> </v>
      </c>
      <c r="D969" s="310"/>
      <c r="E969" s="171" t="str">
        <f>IFERROR(VLOOKUP(E968,Списки!$E:$F,2,0)," ")</f>
        <v xml:space="preserve"> </v>
      </c>
      <c r="F969" s="312"/>
      <c r="G969" s="314"/>
      <c r="H969" s="315"/>
      <c r="I969" s="8"/>
      <c r="J969" s="8"/>
      <c r="K969" s="8"/>
      <c r="L969" s="8"/>
      <c r="M969" s="8"/>
      <c r="N969" s="8"/>
      <c r="O969" s="8"/>
      <c r="P969" s="8"/>
      <c r="Q969" s="8"/>
      <c r="R969" s="8"/>
      <c r="S969" s="8"/>
      <c r="T969" s="82"/>
    </row>
    <row r="970" spans="1:20" ht="13.5" customHeight="1" x14ac:dyDescent="0.25">
      <c r="A970" s="307">
        <v>8</v>
      </c>
      <c r="B970" s="307"/>
      <c r="C970" s="170"/>
      <c r="D970" s="309"/>
      <c r="E970" s="170"/>
      <c r="F970" s="311"/>
      <c r="G970" s="313"/>
      <c r="H970" s="315"/>
      <c r="I970" s="8"/>
      <c r="J970" s="8"/>
      <c r="K970" s="8"/>
      <c r="L970" s="8"/>
      <c r="M970" s="8"/>
      <c r="N970" s="8"/>
      <c r="O970" s="8"/>
      <c r="P970" s="8"/>
      <c r="Q970" s="8"/>
      <c r="R970" s="8"/>
      <c r="S970" s="8"/>
      <c r="T970" s="82"/>
    </row>
    <row r="971" spans="1:20" ht="13.5" customHeight="1" x14ac:dyDescent="0.25">
      <c r="A971" s="308"/>
      <c r="B971" s="308"/>
      <c r="C971" s="179" t="str">
        <f>IFERROR(VLOOKUP(C970,Списки!$E:$F,2,0)," ")</f>
        <v xml:space="preserve"> </v>
      </c>
      <c r="D971" s="310"/>
      <c r="E971" s="171" t="str">
        <f>IFERROR(VLOOKUP(E970,Списки!$E:$F,2,0)," ")</f>
        <v xml:space="preserve"> </v>
      </c>
      <c r="F971" s="312"/>
      <c r="G971" s="314"/>
      <c r="H971" s="315"/>
      <c r="I971" s="8"/>
      <c r="J971" s="8"/>
      <c r="K971" s="8"/>
      <c r="L971" s="8"/>
      <c r="M971" s="8"/>
      <c r="N971" s="8"/>
      <c r="O971" s="8"/>
      <c r="P971" s="8"/>
      <c r="Q971" s="8"/>
      <c r="R971" s="8"/>
      <c r="S971" s="8"/>
      <c r="T971" s="82"/>
    </row>
    <row r="972" spans="1:20" ht="13.5" customHeight="1" x14ac:dyDescent="0.25">
      <c r="A972" s="307">
        <v>9</v>
      </c>
      <c r="B972" s="307"/>
      <c r="C972" s="170"/>
      <c r="D972" s="309"/>
      <c r="E972" s="170"/>
      <c r="F972" s="311"/>
      <c r="G972" s="313"/>
      <c r="H972" s="315"/>
      <c r="I972" s="8"/>
      <c r="J972" s="8"/>
      <c r="K972" s="8"/>
      <c r="L972" s="8"/>
      <c r="M972" s="8"/>
      <c r="N972" s="8"/>
      <c r="O972" s="8"/>
      <c r="P972" s="8"/>
      <c r="Q972" s="8"/>
      <c r="R972" s="8"/>
      <c r="S972" s="8"/>
      <c r="T972" s="82"/>
    </row>
    <row r="973" spans="1:20" ht="13.5" customHeight="1" x14ac:dyDescent="0.25">
      <c r="A973" s="308"/>
      <c r="B973" s="308"/>
      <c r="C973" s="171" t="str">
        <f>IFERROR(VLOOKUP(C972,Списки!$E:$F,2,0)," ")</f>
        <v xml:space="preserve"> </v>
      </c>
      <c r="D973" s="310"/>
      <c r="E973" s="171" t="str">
        <f>IFERROR(VLOOKUP(E972,Списки!$E:$F,2,0)," ")</f>
        <v xml:space="preserve"> </v>
      </c>
      <c r="F973" s="312"/>
      <c r="G973" s="314"/>
      <c r="H973" s="315"/>
      <c r="I973" s="8"/>
      <c r="J973" s="8"/>
      <c r="K973" s="8"/>
      <c r="L973" s="8"/>
      <c r="M973" s="8"/>
      <c r="N973" s="8"/>
      <c r="O973" s="8"/>
      <c r="P973" s="8"/>
      <c r="Q973" s="8"/>
      <c r="R973" s="8"/>
      <c r="S973" s="8"/>
      <c r="T973" s="82"/>
    </row>
    <row r="974" spans="1:20" ht="13.5" customHeight="1" x14ac:dyDescent="0.25">
      <c r="A974" s="307">
        <v>10</v>
      </c>
      <c r="B974" s="307"/>
      <c r="C974" s="170"/>
      <c r="D974" s="309"/>
      <c r="E974" s="170"/>
      <c r="F974" s="311"/>
      <c r="G974" s="313"/>
      <c r="H974" s="315"/>
      <c r="I974" s="8"/>
      <c r="J974" s="8"/>
      <c r="K974" s="8"/>
      <c r="L974" s="8"/>
      <c r="M974" s="8"/>
      <c r="N974" s="8"/>
      <c r="O974" s="8"/>
      <c r="P974" s="8"/>
      <c r="Q974" s="8"/>
      <c r="R974" s="8"/>
      <c r="S974" s="8"/>
      <c r="T974" s="82"/>
    </row>
    <row r="975" spans="1:20" ht="13.5" customHeight="1" x14ac:dyDescent="0.25">
      <c r="A975" s="308"/>
      <c r="B975" s="308"/>
      <c r="C975" s="171" t="str">
        <f>IFERROR(VLOOKUP(C974,Списки!$E:$F,2,0)," ")</f>
        <v xml:space="preserve"> </v>
      </c>
      <c r="D975" s="310"/>
      <c r="E975" s="171" t="str">
        <f>IFERROR(VLOOKUP(E974,Списки!$E:$F,2,0)," ")</f>
        <v xml:space="preserve"> </v>
      </c>
      <c r="F975" s="312"/>
      <c r="G975" s="314"/>
      <c r="H975" s="315"/>
      <c r="I975" s="8"/>
      <c r="J975" s="8"/>
      <c r="K975" s="8"/>
      <c r="L975" s="8"/>
      <c r="M975" s="8"/>
      <c r="N975" s="8"/>
      <c r="O975" s="8"/>
      <c r="P975" s="8"/>
      <c r="Q975" s="8"/>
      <c r="R975" s="8"/>
      <c r="S975" s="8"/>
      <c r="T975" s="82"/>
    </row>
    <row r="976" spans="1:20" ht="13.5" customHeight="1" x14ac:dyDescent="0.25">
      <c r="A976" s="307">
        <v>11</v>
      </c>
      <c r="B976" s="307"/>
      <c r="C976" s="170"/>
      <c r="D976" s="309"/>
      <c r="E976" s="170"/>
      <c r="F976" s="311"/>
      <c r="G976" s="313"/>
      <c r="H976" s="315"/>
      <c r="I976" s="8"/>
      <c r="J976" s="8"/>
      <c r="K976" s="8"/>
      <c r="L976" s="8"/>
      <c r="M976" s="8"/>
      <c r="N976" s="8"/>
      <c r="O976" s="8"/>
      <c r="P976" s="8"/>
      <c r="Q976" s="8"/>
      <c r="R976" s="8"/>
      <c r="S976" s="8"/>
      <c r="T976" s="82"/>
    </row>
    <row r="977" spans="1:20" ht="13.5" customHeight="1" x14ac:dyDescent="0.25">
      <c r="A977" s="308"/>
      <c r="B977" s="308"/>
      <c r="C977" s="171" t="str">
        <f>IFERROR(VLOOKUP(C976,Списки!$E:$F,2,0)," ")</f>
        <v xml:space="preserve"> </v>
      </c>
      <c r="D977" s="310"/>
      <c r="E977" s="171" t="str">
        <f>IFERROR(VLOOKUP(E976,Списки!$E:$F,2,0)," ")</f>
        <v xml:space="preserve"> </v>
      </c>
      <c r="F977" s="312"/>
      <c r="G977" s="314"/>
      <c r="H977" s="315"/>
      <c r="I977" s="8"/>
      <c r="J977" s="8"/>
      <c r="K977" s="8"/>
      <c r="L977" s="8"/>
      <c r="M977" s="8"/>
      <c r="N977" s="8"/>
      <c r="O977" s="8"/>
      <c r="P977" s="8"/>
      <c r="Q977" s="8"/>
      <c r="R977" s="8"/>
      <c r="S977" s="8"/>
      <c r="T977" s="82"/>
    </row>
    <row r="978" spans="1:20" ht="13.5" customHeight="1" x14ac:dyDescent="0.25">
      <c r="A978" s="307">
        <v>12</v>
      </c>
      <c r="B978" s="307"/>
      <c r="C978" s="170"/>
      <c r="D978" s="309"/>
      <c r="E978" s="170"/>
      <c r="F978" s="311"/>
      <c r="G978" s="313"/>
      <c r="H978" s="315"/>
      <c r="I978" s="8"/>
      <c r="J978" s="8"/>
      <c r="K978" s="8"/>
      <c r="L978" s="8"/>
      <c r="M978" s="8"/>
      <c r="N978" s="8"/>
      <c r="O978" s="8"/>
      <c r="P978" s="8"/>
      <c r="Q978" s="8"/>
      <c r="R978" s="8"/>
      <c r="S978" s="8"/>
      <c r="T978" s="82"/>
    </row>
    <row r="979" spans="1:20" ht="13.5" customHeight="1" x14ac:dyDescent="0.25">
      <c r="A979" s="308"/>
      <c r="B979" s="308"/>
      <c r="C979" s="171" t="str">
        <f>IFERROR(VLOOKUP(C978,Списки!$E:$F,2,0)," ")</f>
        <v xml:space="preserve"> </v>
      </c>
      <c r="D979" s="310"/>
      <c r="E979" s="171" t="str">
        <f>IFERROR(VLOOKUP(E978,Списки!$E:$F,2,0)," ")</f>
        <v xml:space="preserve"> </v>
      </c>
      <c r="F979" s="312"/>
      <c r="G979" s="314"/>
      <c r="H979" s="315"/>
      <c r="I979" s="8"/>
      <c r="J979" s="8"/>
      <c r="K979" s="8"/>
      <c r="L979" s="8"/>
      <c r="M979" s="8"/>
      <c r="N979" s="8"/>
      <c r="O979" s="8"/>
      <c r="P979" s="8"/>
      <c r="Q979" s="8"/>
      <c r="R979" s="8"/>
      <c r="S979" s="8"/>
      <c r="T979" s="82"/>
    </row>
    <row r="980" spans="1:20" ht="13.5" customHeight="1" x14ac:dyDescent="0.25">
      <c r="A980" s="307">
        <v>13</v>
      </c>
      <c r="B980" s="307"/>
      <c r="C980" s="170"/>
      <c r="D980" s="309"/>
      <c r="E980" s="170"/>
      <c r="F980" s="311"/>
      <c r="G980" s="313"/>
      <c r="H980" s="315"/>
      <c r="I980" s="8"/>
      <c r="J980" s="8"/>
      <c r="K980" s="8"/>
      <c r="L980" s="8"/>
      <c r="M980" s="8"/>
      <c r="N980" s="8"/>
      <c r="O980" s="8"/>
      <c r="P980" s="8"/>
      <c r="Q980" s="8"/>
      <c r="R980" s="8"/>
      <c r="S980" s="8"/>
      <c r="T980" s="82"/>
    </row>
    <row r="981" spans="1:20" ht="13.5" customHeight="1" x14ac:dyDescent="0.25">
      <c r="A981" s="308"/>
      <c r="B981" s="308"/>
      <c r="C981" s="171" t="str">
        <f>IFERROR(VLOOKUP(C980,Списки!$E:$F,2,0)," ")</f>
        <v xml:space="preserve"> </v>
      </c>
      <c r="D981" s="310"/>
      <c r="E981" s="171" t="str">
        <f>IFERROR(VLOOKUP(E980,Списки!$E:$F,2,0)," ")</f>
        <v xml:space="preserve"> </v>
      </c>
      <c r="F981" s="312"/>
      <c r="G981" s="314"/>
      <c r="H981" s="315"/>
      <c r="I981" s="8"/>
      <c r="J981" s="8"/>
      <c r="K981" s="8"/>
      <c r="L981" s="8"/>
      <c r="M981" s="8"/>
      <c r="N981" s="8"/>
      <c r="O981" s="8"/>
      <c r="P981" s="8"/>
      <c r="Q981" s="8"/>
      <c r="R981" s="8"/>
      <c r="S981" s="8"/>
      <c r="T981" s="82"/>
    </row>
    <row r="982" spans="1:20" ht="13.5" customHeight="1" x14ac:dyDescent="0.25">
      <c r="A982" s="307">
        <v>14</v>
      </c>
      <c r="B982" s="307"/>
      <c r="C982" s="170"/>
      <c r="D982" s="309"/>
      <c r="E982" s="170"/>
      <c r="F982" s="311"/>
      <c r="G982" s="313"/>
      <c r="H982" s="315"/>
      <c r="I982" s="8"/>
      <c r="J982" s="8"/>
      <c r="K982" s="8"/>
      <c r="L982" s="8"/>
      <c r="M982" s="8"/>
      <c r="N982" s="8"/>
      <c r="O982" s="8"/>
      <c r="P982" s="8"/>
      <c r="Q982" s="8"/>
      <c r="R982" s="8"/>
      <c r="S982" s="8"/>
      <c r="T982" s="82"/>
    </row>
    <row r="983" spans="1:20" ht="13.5" customHeight="1" x14ac:dyDescent="0.25">
      <c r="A983" s="308"/>
      <c r="B983" s="308"/>
      <c r="C983" s="171" t="str">
        <f>IFERROR(VLOOKUP(C982,Списки!$E:$F,2,0)," ")</f>
        <v xml:space="preserve"> </v>
      </c>
      <c r="D983" s="310"/>
      <c r="E983" s="171" t="str">
        <f>IFERROR(VLOOKUP(E982,Списки!$E:$F,2,0)," ")</f>
        <v xml:space="preserve"> </v>
      </c>
      <c r="F983" s="312"/>
      <c r="G983" s="314"/>
      <c r="H983" s="315"/>
      <c r="I983" s="8"/>
      <c r="J983" s="8"/>
      <c r="K983" s="8"/>
      <c r="L983" s="8"/>
      <c r="M983" s="8"/>
      <c r="N983" s="8"/>
      <c r="O983" s="8"/>
      <c r="P983" s="8"/>
      <c r="Q983" s="8"/>
      <c r="R983" s="8"/>
      <c r="S983" s="8"/>
      <c r="T983" s="82"/>
    </row>
    <row r="984" spans="1:20" ht="13.5" customHeight="1" x14ac:dyDescent="0.25">
      <c r="A984" s="307">
        <v>15</v>
      </c>
      <c r="B984" s="307"/>
      <c r="C984" s="170"/>
      <c r="D984" s="309"/>
      <c r="E984" s="170"/>
      <c r="F984" s="311"/>
      <c r="G984" s="313"/>
      <c r="H984" s="315"/>
      <c r="I984" s="8"/>
      <c r="J984" s="8"/>
      <c r="K984" s="8"/>
      <c r="L984" s="8"/>
      <c r="M984" s="8"/>
      <c r="N984" s="8"/>
      <c r="O984" s="8"/>
      <c r="P984" s="8"/>
      <c r="Q984" s="8"/>
      <c r="R984" s="8"/>
      <c r="S984" s="8"/>
      <c r="T984" s="82"/>
    </row>
    <row r="985" spans="1:20" ht="13.5" customHeight="1" x14ac:dyDescent="0.25">
      <c r="A985" s="308"/>
      <c r="B985" s="308"/>
      <c r="C985" s="171" t="str">
        <f>IFERROR(VLOOKUP(C984,Списки!$E:$F,2,0)," ")</f>
        <v xml:space="preserve"> </v>
      </c>
      <c r="D985" s="310"/>
      <c r="E985" s="171" t="str">
        <f>IFERROR(VLOOKUP(E984,Списки!$E:$F,2,0)," ")</f>
        <v xml:space="preserve"> </v>
      </c>
      <c r="F985" s="312"/>
      <c r="G985" s="314"/>
      <c r="H985" s="315"/>
      <c r="I985" s="8"/>
      <c r="J985" s="8"/>
      <c r="K985" s="8"/>
      <c r="L985" s="8"/>
      <c r="M985" s="8"/>
      <c r="N985" s="8"/>
      <c r="O985" s="8"/>
      <c r="P985" s="8"/>
      <c r="Q985" s="8"/>
      <c r="R985" s="8"/>
      <c r="S985" s="8"/>
      <c r="T985" s="82"/>
    </row>
    <row r="986" spans="1:20" x14ac:dyDescent="0.25">
      <c r="A986" s="36"/>
      <c r="B986" s="37"/>
      <c r="C986" s="173"/>
      <c r="D986" s="173"/>
      <c r="E986" s="174" t="s">
        <v>30</v>
      </c>
      <c r="F986" s="39">
        <f>IFERROR(SUM(IFERROR(IF((LOOKUP(9E+307,F956:F985))&gt;$M$39,(LOOKUP(9E+307,F956:F985))-$M$39,IF((LOOKUP(9E+307,F956:F985))&lt;0.166666667,0+(LOOKUP(9E+307,F956:F985))+1-$M$39,0)),0),(IF(AND(IF(D956,$M$38-D956,0)&gt;0,F956,F956&gt;D956),$M$38-D956,IF(AND(D956,F956,D956&gt;F956),"error",0)))),"ОШИБКА")</f>
        <v>0</v>
      </c>
      <c r="G986" s="40" t="s">
        <v>27</v>
      </c>
      <c r="H986" s="38">
        <f>SUM(H956:H985)</f>
        <v>0</v>
      </c>
      <c r="I986" s="8"/>
      <c r="J986" s="8"/>
      <c r="K986" s="8"/>
      <c r="L986" s="8"/>
      <c r="M986" s="8"/>
      <c r="N986" s="8"/>
      <c r="O986" s="8"/>
      <c r="P986" s="8"/>
      <c r="Q986" s="8"/>
      <c r="R986" s="8"/>
      <c r="S986" s="8"/>
      <c r="T986" s="82"/>
    </row>
    <row r="987" spans="1:20" ht="15.75" x14ac:dyDescent="0.25">
      <c r="A987" s="316">
        <f>DATE(K1,J1,30)</f>
        <v>43860</v>
      </c>
      <c r="B987" s="316"/>
      <c r="C987" s="316"/>
      <c r="D987" s="316"/>
      <c r="E987" s="316"/>
      <c r="F987" s="316"/>
      <c r="G987" s="316"/>
      <c r="H987" s="316"/>
      <c r="I987" s="8"/>
      <c r="J987" s="8"/>
      <c r="K987" s="8"/>
      <c r="L987" s="8"/>
      <c r="M987" s="8"/>
      <c r="N987" s="8"/>
      <c r="O987" s="8"/>
      <c r="P987" s="8"/>
      <c r="Q987" s="8"/>
      <c r="R987" s="8"/>
      <c r="S987" s="8"/>
      <c r="T987" s="82"/>
    </row>
    <row r="988" spans="1:20" ht="13.5" customHeight="1" x14ac:dyDescent="0.25">
      <c r="A988" s="318"/>
      <c r="B988" s="320" t="s">
        <v>34</v>
      </c>
      <c r="C988" s="175" t="s">
        <v>39</v>
      </c>
      <c r="D988" s="322" t="s">
        <v>36</v>
      </c>
      <c r="E988" s="175" t="s">
        <v>37</v>
      </c>
      <c r="F988" s="320" t="s">
        <v>36</v>
      </c>
      <c r="G988" s="324" t="s">
        <v>35</v>
      </c>
      <c r="H988" s="315" t="s">
        <v>40</v>
      </c>
      <c r="I988" s="8"/>
      <c r="J988" s="8"/>
      <c r="K988" s="8"/>
      <c r="L988" s="8"/>
      <c r="M988" s="8"/>
      <c r="N988" s="8"/>
      <c r="O988" s="8"/>
      <c r="P988" s="8"/>
      <c r="Q988" s="8"/>
      <c r="R988" s="8"/>
      <c r="S988" s="8"/>
      <c r="T988" s="82"/>
    </row>
    <row r="989" spans="1:20" ht="13.5" customHeight="1" x14ac:dyDescent="0.25">
      <c r="A989" s="319"/>
      <c r="B989" s="321"/>
      <c r="C989" s="169" t="s">
        <v>38</v>
      </c>
      <c r="D989" s="323"/>
      <c r="E989" s="169" t="s">
        <v>38</v>
      </c>
      <c r="F989" s="321"/>
      <c r="G989" s="325"/>
      <c r="H989" s="315"/>
      <c r="I989" s="8"/>
      <c r="J989" s="8"/>
      <c r="K989" s="8"/>
      <c r="L989" s="8"/>
      <c r="M989" s="8"/>
      <c r="N989" s="8"/>
      <c r="O989" s="8"/>
      <c r="P989" s="8"/>
      <c r="Q989" s="8"/>
      <c r="R989" s="8"/>
      <c r="S989" s="8"/>
      <c r="T989" s="82"/>
    </row>
    <row r="990" spans="1:20" ht="13.5" customHeight="1" x14ac:dyDescent="0.25">
      <c r="A990" s="307">
        <v>1</v>
      </c>
      <c r="B990" s="307"/>
      <c r="C990" s="170" t="s">
        <v>43</v>
      </c>
      <c r="D990" s="309"/>
      <c r="E990" s="170" t="s">
        <v>44</v>
      </c>
      <c r="F990" s="311"/>
      <c r="G990" s="313"/>
      <c r="H990" s="315"/>
      <c r="I990" s="8"/>
      <c r="J990" s="8"/>
      <c r="K990" s="8"/>
      <c r="L990" s="8"/>
      <c r="M990" s="8"/>
      <c r="N990" s="8"/>
      <c r="O990" s="8"/>
      <c r="P990" s="8"/>
      <c r="Q990" s="8"/>
      <c r="R990" s="8"/>
      <c r="S990" s="8"/>
      <c r="T990" s="82"/>
    </row>
    <row r="991" spans="1:20" ht="13.5" customHeight="1" x14ac:dyDescent="0.25">
      <c r="A991" s="308"/>
      <c r="B991" s="308"/>
      <c r="C991" s="171" t="str">
        <f>IFERROR(VLOOKUP(C990,Списки!$E:$F,2,0)," ")</f>
        <v>SAVUSHKINA ST 128</v>
      </c>
      <c r="D991" s="310"/>
      <c r="E991" s="171" t="str">
        <f>IFERROR(VLOOKUP(E990,Списки!$E:$F,2,0)," ")</f>
        <v>LEVASHOVSKOE HWY 20</v>
      </c>
      <c r="F991" s="312"/>
      <c r="G991" s="314"/>
      <c r="H991" s="315"/>
      <c r="I991" s="8"/>
      <c r="J991" s="8"/>
      <c r="K991" s="8"/>
      <c r="L991" s="8"/>
      <c r="M991" s="8"/>
      <c r="N991" s="8"/>
      <c r="O991" s="8"/>
      <c r="P991" s="8"/>
      <c r="Q991" s="8"/>
      <c r="R991" s="8"/>
      <c r="S991" s="8"/>
      <c r="T991" s="82"/>
    </row>
    <row r="992" spans="1:20" ht="13.5" customHeight="1" x14ac:dyDescent="0.25">
      <c r="A992" s="307">
        <v>2</v>
      </c>
      <c r="B992" s="307"/>
      <c r="C992" s="170" t="s">
        <v>44</v>
      </c>
      <c r="D992" s="309"/>
      <c r="E992" s="170"/>
      <c r="F992" s="311"/>
      <c r="G992" s="313"/>
      <c r="H992" s="315"/>
      <c r="I992" s="8"/>
      <c r="J992" s="8"/>
      <c r="K992" s="8"/>
      <c r="L992" s="8"/>
      <c r="M992" s="8"/>
      <c r="N992" s="8"/>
      <c r="O992" s="8"/>
      <c r="P992" s="8"/>
      <c r="Q992" s="8"/>
      <c r="R992" s="8"/>
      <c r="S992" s="8"/>
      <c r="T992" s="82"/>
    </row>
    <row r="993" spans="1:20" ht="13.5" customHeight="1" x14ac:dyDescent="0.25">
      <c r="A993" s="308"/>
      <c r="B993" s="308"/>
      <c r="C993" s="171" t="str">
        <f>IFERROR(VLOOKUP(C992,Списки!$E:$F,2,0)," ")</f>
        <v>LEVASHOVSKOE HWY 20</v>
      </c>
      <c r="D993" s="310"/>
      <c r="E993" s="171" t="str">
        <f>IFERROR(VLOOKUP(E992,Списки!$E:$F,2,0)," ")</f>
        <v xml:space="preserve"> </v>
      </c>
      <c r="F993" s="312"/>
      <c r="G993" s="314"/>
      <c r="H993" s="315"/>
      <c r="I993" s="8"/>
      <c r="J993" s="8"/>
      <c r="K993" s="8"/>
      <c r="L993" s="8"/>
      <c r="M993" s="8"/>
      <c r="N993" s="8"/>
      <c r="O993" s="8"/>
      <c r="P993" s="8"/>
      <c r="Q993" s="8"/>
      <c r="R993" s="8"/>
      <c r="S993" s="8"/>
      <c r="T993" s="82"/>
    </row>
    <row r="994" spans="1:20" ht="13.5" customHeight="1" x14ac:dyDescent="0.25">
      <c r="A994" s="307">
        <v>3</v>
      </c>
      <c r="B994" s="307"/>
      <c r="C994" s="170"/>
      <c r="D994" s="309"/>
      <c r="E994" s="170"/>
      <c r="F994" s="311"/>
      <c r="G994" s="313"/>
      <c r="H994" s="315"/>
      <c r="I994" s="8"/>
      <c r="J994" s="8"/>
      <c r="K994" s="8"/>
      <c r="L994" s="8"/>
      <c r="M994" s="8"/>
      <c r="N994" s="8"/>
      <c r="O994" s="8"/>
      <c r="P994" s="8"/>
      <c r="Q994" s="8"/>
      <c r="R994" s="8"/>
      <c r="S994" s="8"/>
      <c r="T994" s="82"/>
    </row>
    <row r="995" spans="1:20" ht="13.5" customHeight="1" x14ac:dyDescent="0.25">
      <c r="A995" s="308"/>
      <c r="B995" s="308"/>
      <c r="C995" s="171" t="str">
        <f>IFERROR(VLOOKUP(C994,Списки!$E:$F,2,0)," ")</f>
        <v xml:space="preserve"> </v>
      </c>
      <c r="D995" s="310"/>
      <c r="E995" s="171" t="str">
        <f>IFERROR(VLOOKUP(E994,Списки!$E:$F,2,0)," ")</f>
        <v xml:space="preserve"> </v>
      </c>
      <c r="F995" s="312"/>
      <c r="G995" s="314"/>
      <c r="H995" s="315"/>
      <c r="I995" s="8"/>
      <c r="J995" s="8"/>
      <c r="K995" s="8"/>
      <c r="L995" s="8"/>
      <c r="M995" s="8"/>
      <c r="N995" s="8"/>
      <c r="O995" s="8"/>
      <c r="P995" s="8"/>
      <c r="Q995" s="8"/>
      <c r="R995" s="8"/>
      <c r="S995" s="8"/>
      <c r="T995" s="82"/>
    </row>
    <row r="996" spans="1:20" ht="13.5" customHeight="1" x14ac:dyDescent="0.25">
      <c r="A996" s="307">
        <v>4</v>
      </c>
      <c r="B996" s="307"/>
      <c r="C996" s="170"/>
      <c r="D996" s="309"/>
      <c r="E996" s="170"/>
      <c r="F996" s="311"/>
      <c r="G996" s="313"/>
      <c r="H996" s="315"/>
      <c r="I996" s="8"/>
      <c r="J996" s="8"/>
      <c r="K996" s="8"/>
      <c r="L996" s="8"/>
      <c r="M996" s="8"/>
      <c r="N996" s="8"/>
      <c r="O996" s="8"/>
      <c r="P996" s="8"/>
      <c r="Q996" s="8"/>
      <c r="R996" s="8"/>
      <c r="S996" s="8"/>
      <c r="T996" s="82"/>
    </row>
    <row r="997" spans="1:20" ht="13.5" customHeight="1" x14ac:dyDescent="0.25">
      <c r="A997" s="308"/>
      <c r="B997" s="308"/>
      <c r="C997" s="171" t="str">
        <f>IFERROR(VLOOKUP(C996,Списки!$E:$F,2,0)," ")</f>
        <v xml:space="preserve"> </v>
      </c>
      <c r="D997" s="310"/>
      <c r="E997" s="171" t="str">
        <f>IFERROR(VLOOKUP(E996,Списки!$E:$F,2,0)," ")</f>
        <v xml:space="preserve"> </v>
      </c>
      <c r="F997" s="312"/>
      <c r="G997" s="314"/>
      <c r="H997" s="315"/>
      <c r="I997" s="8"/>
      <c r="J997" s="8"/>
      <c r="K997" s="8"/>
      <c r="L997" s="8"/>
      <c r="M997" s="8"/>
      <c r="N997" s="8"/>
      <c r="O997" s="8"/>
      <c r="P997" s="8"/>
      <c r="Q997" s="8"/>
      <c r="R997" s="8"/>
      <c r="S997" s="8"/>
      <c r="T997" s="82"/>
    </row>
    <row r="998" spans="1:20" ht="13.5" customHeight="1" x14ac:dyDescent="0.25">
      <c r="A998" s="307">
        <v>5</v>
      </c>
      <c r="B998" s="307"/>
      <c r="C998" s="170"/>
      <c r="D998" s="309"/>
      <c r="E998" s="172"/>
      <c r="F998" s="311"/>
      <c r="G998" s="313"/>
      <c r="H998" s="315"/>
      <c r="I998" s="8"/>
      <c r="J998" s="8"/>
      <c r="K998" s="8"/>
      <c r="L998" s="8"/>
      <c r="M998" s="8"/>
      <c r="N998" s="8"/>
      <c r="O998" s="8"/>
      <c r="P998" s="8"/>
      <c r="Q998" s="8"/>
      <c r="R998" s="8"/>
      <c r="S998" s="8"/>
      <c r="T998" s="82"/>
    </row>
    <row r="999" spans="1:20" ht="13.5" customHeight="1" x14ac:dyDescent="0.25">
      <c r="A999" s="308"/>
      <c r="B999" s="308"/>
      <c r="C999" s="171" t="str">
        <f>IFERROR(VLOOKUP(C998,Списки!$E:$F,2,0)," ")</f>
        <v xml:space="preserve"> </v>
      </c>
      <c r="D999" s="310"/>
      <c r="E999" s="172" t="str">
        <f>IFERROR(VLOOKUP(E998,Списки!$E:$F,2,0)," ")</f>
        <v xml:space="preserve"> </v>
      </c>
      <c r="F999" s="312"/>
      <c r="G999" s="314"/>
      <c r="H999" s="315"/>
      <c r="I999" s="8"/>
      <c r="J999" s="8"/>
      <c r="K999" s="8"/>
      <c r="L999" s="8"/>
      <c r="M999" s="8"/>
      <c r="N999" s="8"/>
      <c r="O999" s="8"/>
      <c r="P999" s="8"/>
      <c r="Q999" s="8"/>
      <c r="R999" s="8"/>
      <c r="S999" s="8"/>
      <c r="T999" s="82"/>
    </row>
    <row r="1000" spans="1:20" ht="13.5" customHeight="1" x14ac:dyDescent="0.25">
      <c r="A1000" s="307">
        <v>6</v>
      </c>
      <c r="B1000" s="307"/>
      <c r="C1000" s="170"/>
      <c r="D1000" s="309"/>
      <c r="E1000" s="170"/>
      <c r="F1000" s="311"/>
      <c r="G1000" s="313"/>
      <c r="H1000" s="315"/>
      <c r="I1000" s="8"/>
      <c r="J1000" s="8"/>
      <c r="K1000" s="8"/>
      <c r="L1000" s="8"/>
      <c r="M1000" s="8"/>
      <c r="N1000" s="8"/>
      <c r="O1000" s="8"/>
      <c r="P1000" s="8"/>
      <c r="Q1000" s="8"/>
      <c r="R1000" s="8"/>
      <c r="S1000" s="8"/>
      <c r="T1000" s="82"/>
    </row>
    <row r="1001" spans="1:20" ht="13.5" customHeight="1" x14ac:dyDescent="0.25">
      <c r="A1001" s="308"/>
      <c r="B1001" s="308"/>
      <c r="C1001" s="171" t="str">
        <f>IFERROR(VLOOKUP(C1000,Списки!$E:$F,2,0)," ")</f>
        <v xml:space="preserve"> </v>
      </c>
      <c r="D1001" s="310"/>
      <c r="E1001" s="179" t="str">
        <f>IFERROR(VLOOKUP(E1000,Списки!$E:$F,2,0)," ")</f>
        <v xml:space="preserve"> </v>
      </c>
      <c r="F1001" s="312"/>
      <c r="G1001" s="314"/>
      <c r="H1001" s="315"/>
      <c r="I1001" s="8"/>
      <c r="J1001" s="8"/>
      <c r="K1001" s="8"/>
      <c r="L1001" s="8"/>
      <c r="M1001" s="8"/>
      <c r="N1001" s="8"/>
      <c r="O1001" s="8"/>
      <c r="P1001" s="8"/>
      <c r="Q1001" s="8"/>
      <c r="R1001" s="8"/>
      <c r="S1001" s="8"/>
      <c r="T1001" s="82"/>
    </row>
    <row r="1002" spans="1:20" ht="13.5" customHeight="1" x14ac:dyDescent="0.25">
      <c r="A1002" s="307">
        <v>7</v>
      </c>
      <c r="B1002" s="307"/>
      <c r="C1002" s="170"/>
      <c r="D1002" s="309"/>
      <c r="E1002" s="170"/>
      <c r="F1002" s="311"/>
      <c r="G1002" s="313"/>
      <c r="H1002" s="315"/>
      <c r="I1002" s="8"/>
      <c r="J1002" s="8"/>
      <c r="K1002" s="8"/>
      <c r="L1002" s="8"/>
      <c r="M1002" s="8"/>
      <c r="N1002" s="8"/>
      <c r="O1002" s="8"/>
      <c r="P1002" s="8"/>
      <c r="Q1002" s="8"/>
      <c r="R1002" s="8"/>
      <c r="S1002" s="8"/>
      <c r="T1002" s="82"/>
    </row>
    <row r="1003" spans="1:20" ht="13.5" customHeight="1" x14ac:dyDescent="0.25">
      <c r="A1003" s="308"/>
      <c r="B1003" s="308"/>
      <c r="C1003" s="179" t="str">
        <f>IFERROR(VLOOKUP(C1002,Списки!$E:$F,2,0)," ")</f>
        <v xml:space="preserve"> </v>
      </c>
      <c r="D1003" s="310"/>
      <c r="E1003" s="171" t="str">
        <f>IFERROR(VLOOKUP(E1002,Списки!$E:$F,2,0)," ")</f>
        <v xml:space="preserve"> </v>
      </c>
      <c r="F1003" s="312"/>
      <c r="G1003" s="314"/>
      <c r="H1003" s="315"/>
      <c r="I1003" s="8"/>
      <c r="J1003" s="8"/>
      <c r="K1003" s="8"/>
      <c r="L1003" s="8"/>
      <c r="M1003" s="8"/>
      <c r="N1003" s="8"/>
      <c r="O1003" s="8"/>
      <c r="P1003" s="8"/>
      <c r="Q1003" s="8"/>
      <c r="R1003" s="8"/>
      <c r="S1003" s="8"/>
      <c r="T1003" s="82"/>
    </row>
    <row r="1004" spans="1:20" ht="13.5" customHeight="1" x14ac:dyDescent="0.25">
      <c r="A1004" s="307">
        <v>8</v>
      </c>
      <c r="B1004" s="307"/>
      <c r="C1004" s="170"/>
      <c r="D1004" s="309"/>
      <c r="E1004" s="170"/>
      <c r="F1004" s="311"/>
      <c r="G1004" s="313"/>
      <c r="H1004" s="315"/>
      <c r="I1004" s="8"/>
      <c r="J1004" s="8"/>
      <c r="K1004" s="8"/>
      <c r="L1004" s="8"/>
      <c r="M1004" s="8"/>
      <c r="N1004" s="8"/>
      <c r="O1004" s="8"/>
      <c r="P1004" s="8"/>
      <c r="Q1004" s="8"/>
      <c r="R1004" s="8"/>
      <c r="S1004" s="8"/>
      <c r="T1004" s="82"/>
    </row>
    <row r="1005" spans="1:20" ht="13.5" customHeight="1" x14ac:dyDescent="0.25">
      <c r="A1005" s="308"/>
      <c r="B1005" s="308"/>
      <c r="C1005" s="179" t="str">
        <f>IFERROR(VLOOKUP(C1004,Списки!$E:$F,2,0)," ")</f>
        <v xml:space="preserve"> </v>
      </c>
      <c r="D1005" s="310"/>
      <c r="E1005" s="171" t="str">
        <f>IFERROR(VLOOKUP(E1004,Списки!$E:$F,2,0)," ")</f>
        <v xml:space="preserve"> </v>
      </c>
      <c r="F1005" s="312"/>
      <c r="G1005" s="314"/>
      <c r="H1005" s="315"/>
      <c r="I1005" s="8"/>
      <c r="J1005" s="8"/>
      <c r="K1005" s="8"/>
      <c r="L1005" s="8"/>
      <c r="M1005" s="8"/>
      <c r="N1005" s="8"/>
      <c r="O1005" s="8"/>
      <c r="P1005" s="8"/>
      <c r="Q1005" s="8"/>
      <c r="R1005" s="8"/>
      <c r="S1005" s="8"/>
      <c r="T1005" s="82"/>
    </row>
    <row r="1006" spans="1:20" ht="13.5" customHeight="1" x14ac:dyDescent="0.25">
      <c r="A1006" s="307">
        <v>9</v>
      </c>
      <c r="B1006" s="307"/>
      <c r="C1006" s="170"/>
      <c r="D1006" s="309"/>
      <c r="E1006" s="170"/>
      <c r="F1006" s="311"/>
      <c r="G1006" s="313"/>
      <c r="H1006" s="315"/>
      <c r="I1006" s="8"/>
      <c r="J1006" s="8"/>
      <c r="K1006" s="8"/>
      <c r="L1006" s="8"/>
      <c r="M1006" s="8"/>
      <c r="N1006" s="8"/>
      <c r="O1006" s="8"/>
      <c r="P1006" s="8"/>
      <c r="Q1006" s="8"/>
      <c r="R1006" s="8"/>
      <c r="S1006" s="8"/>
      <c r="T1006" s="82"/>
    </row>
    <row r="1007" spans="1:20" ht="13.5" customHeight="1" x14ac:dyDescent="0.25">
      <c r="A1007" s="308"/>
      <c r="B1007" s="308"/>
      <c r="C1007" s="171" t="str">
        <f>IFERROR(VLOOKUP(C1006,Списки!$E:$F,2,0)," ")</f>
        <v xml:space="preserve"> </v>
      </c>
      <c r="D1007" s="310"/>
      <c r="E1007" s="171" t="str">
        <f>IFERROR(VLOOKUP(E1006,Списки!$E:$F,2,0)," ")</f>
        <v xml:space="preserve"> </v>
      </c>
      <c r="F1007" s="312"/>
      <c r="G1007" s="314"/>
      <c r="H1007" s="315"/>
      <c r="I1007" s="8"/>
      <c r="J1007" s="8"/>
      <c r="K1007" s="8"/>
      <c r="L1007" s="8"/>
      <c r="M1007" s="8"/>
      <c r="N1007" s="8"/>
      <c r="O1007" s="8"/>
      <c r="P1007" s="8"/>
      <c r="Q1007" s="8"/>
      <c r="R1007" s="8"/>
      <c r="S1007" s="8"/>
      <c r="T1007" s="82"/>
    </row>
    <row r="1008" spans="1:20" ht="13.5" customHeight="1" x14ac:dyDescent="0.25">
      <c r="A1008" s="307">
        <v>10</v>
      </c>
      <c r="B1008" s="307"/>
      <c r="C1008" s="170"/>
      <c r="D1008" s="309"/>
      <c r="E1008" s="170"/>
      <c r="F1008" s="311"/>
      <c r="G1008" s="313"/>
      <c r="H1008" s="315"/>
      <c r="I1008" s="8"/>
      <c r="J1008" s="8"/>
      <c r="K1008" s="8"/>
      <c r="L1008" s="8"/>
      <c r="M1008" s="8"/>
      <c r="N1008" s="8"/>
      <c r="O1008" s="8"/>
      <c r="P1008" s="8"/>
      <c r="Q1008" s="8"/>
      <c r="R1008" s="8"/>
      <c r="S1008" s="8"/>
      <c r="T1008" s="82"/>
    </row>
    <row r="1009" spans="1:20" ht="13.5" customHeight="1" x14ac:dyDescent="0.25">
      <c r="A1009" s="308"/>
      <c r="B1009" s="308"/>
      <c r="C1009" s="171" t="str">
        <f>IFERROR(VLOOKUP(C1008,Списки!$E:$F,2,0)," ")</f>
        <v xml:space="preserve"> </v>
      </c>
      <c r="D1009" s="310"/>
      <c r="E1009" s="171" t="str">
        <f>IFERROR(VLOOKUP(E1008,Списки!$E:$F,2,0)," ")</f>
        <v xml:space="preserve"> </v>
      </c>
      <c r="F1009" s="312"/>
      <c r="G1009" s="314"/>
      <c r="H1009" s="315"/>
      <c r="I1009" s="8"/>
      <c r="J1009" s="8"/>
      <c r="K1009" s="8"/>
      <c r="L1009" s="8"/>
      <c r="M1009" s="8"/>
      <c r="N1009" s="8"/>
      <c r="O1009" s="8"/>
      <c r="P1009" s="8"/>
      <c r="Q1009" s="8"/>
      <c r="R1009" s="8"/>
      <c r="S1009" s="8"/>
      <c r="T1009" s="82"/>
    </row>
    <row r="1010" spans="1:20" ht="13.5" customHeight="1" x14ac:dyDescent="0.25">
      <c r="A1010" s="307">
        <v>11</v>
      </c>
      <c r="B1010" s="307"/>
      <c r="C1010" s="170"/>
      <c r="D1010" s="309"/>
      <c r="E1010" s="170"/>
      <c r="F1010" s="311"/>
      <c r="G1010" s="313"/>
      <c r="H1010" s="315"/>
      <c r="I1010" s="8"/>
      <c r="J1010" s="8"/>
      <c r="K1010" s="8"/>
      <c r="L1010" s="8"/>
      <c r="M1010" s="8"/>
      <c r="N1010" s="8"/>
      <c r="O1010" s="8"/>
      <c r="P1010" s="8"/>
      <c r="Q1010" s="8"/>
      <c r="R1010" s="8"/>
      <c r="S1010" s="8"/>
      <c r="T1010" s="82"/>
    </row>
    <row r="1011" spans="1:20" ht="13.5" customHeight="1" x14ac:dyDescent="0.25">
      <c r="A1011" s="308"/>
      <c r="B1011" s="308"/>
      <c r="C1011" s="171" t="str">
        <f>IFERROR(VLOOKUP(C1010,Списки!$E:$F,2,0)," ")</f>
        <v xml:space="preserve"> </v>
      </c>
      <c r="D1011" s="310"/>
      <c r="E1011" s="171" t="str">
        <f>IFERROR(VLOOKUP(E1010,Списки!$E:$F,2,0)," ")</f>
        <v xml:space="preserve"> </v>
      </c>
      <c r="F1011" s="312"/>
      <c r="G1011" s="314"/>
      <c r="H1011" s="315"/>
      <c r="I1011" s="8"/>
      <c r="J1011" s="8"/>
      <c r="K1011" s="8"/>
      <c r="L1011" s="8"/>
      <c r="M1011" s="8"/>
      <c r="N1011" s="8"/>
      <c r="O1011" s="8"/>
      <c r="P1011" s="8"/>
      <c r="Q1011" s="8"/>
      <c r="R1011" s="8"/>
      <c r="S1011" s="8"/>
      <c r="T1011" s="82"/>
    </row>
    <row r="1012" spans="1:20" ht="13.5" customHeight="1" x14ac:dyDescent="0.25">
      <c r="A1012" s="307">
        <v>12</v>
      </c>
      <c r="B1012" s="307"/>
      <c r="C1012" s="170"/>
      <c r="D1012" s="309"/>
      <c r="E1012" s="170"/>
      <c r="F1012" s="311"/>
      <c r="G1012" s="313"/>
      <c r="H1012" s="315"/>
      <c r="I1012" s="8"/>
      <c r="J1012" s="8"/>
      <c r="K1012" s="8"/>
      <c r="L1012" s="8"/>
      <c r="M1012" s="8"/>
      <c r="N1012" s="8"/>
      <c r="O1012" s="8"/>
      <c r="P1012" s="8"/>
      <c r="Q1012" s="8"/>
      <c r="R1012" s="8"/>
      <c r="S1012" s="8"/>
      <c r="T1012" s="82"/>
    </row>
    <row r="1013" spans="1:20" ht="13.5" customHeight="1" x14ac:dyDescent="0.25">
      <c r="A1013" s="308"/>
      <c r="B1013" s="308"/>
      <c r="C1013" s="171" t="str">
        <f>IFERROR(VLOOKUP(C1012,Списки!$E:$F,2,0)," ")</f>
        <v xml:space="preserve"> </v>
      </c>
      <c r="D1013" s="310"/>
      <c r="E1013" s="171" t="str">
        <f>IFERROR(VLOOKUP(E1012,Списки!$E:$F,2,0)," ")</f>
        <v xml:space="preserve"> </v>
      </c>
      <c r="F1013" s="312"/>
      <c r="G1013" s="314"/>
      <c r="H1013" s="315"/>
      <c r="I1013" s="8"/>
      <c r="J1013" s="8"/>
      <c r="K1013" s="8"/>
      <c r="L1013" s="8"/>
      <c r="M1013" s="8"/>
      <c r="N1013" s="8"/>
      <c r="O1013" s="8"/>
      <c r="P1013" s="8"/>
      <c r="Q1013" s="8"/>
      <c r="R1013" s="8"/>
      <c r="S1013" s="8"/>
      <c r="T1013" s="82"/>
    </row>
    <row r="1014" spans="1:20" ht="13.5" customHeight="1" x14ac:dyDescent="0.25">
      <c r="A1014" s="307">
        <v>13</v>
      </c>
      <c r="B1014" s="307"/>
      <c r="C1014" s="170"/>
      <c r="D1014" s="309"/>
      <c r="E1014" s="170"/>
      <c r="F1014" s="311"/>
      <c r="G1014" s="313"/>
      <c r="H1014" s="315"/>
      <c r="I1014" s="8"/>
      <c r="J1014" s="8"/>
      <c r="K1014" s="8"/>
      <c r="L1014" s="8"/>
      <c r="M1014" s="8"/>
      <c r="N1014" s="8"/>
      <c r="O1014" s="8"/>
      <c r="P1014" s="8"/>
      <c r="Q1014" s="8"/>
      <c r="R1014" s="8"/>
      <c r="S1014" s="8"/>
      <c r="T1014" s="82"/>
    </row>
    <row r="1015" spans="1:20" ht="13.5" customHeight="1" x14ac:dyDescent="0.25">
      <c r="A1015" s="308"/>
      <c r="B1015" s="308"/>
      <c r="C1015" s="171" t="str">
        <f>IFERROR(VLOOKUP(C1014,Списки!$E:$F,2,0)," ")</f>
        <v xml:space="preserve"> </v>
      </c>
      <c r="D1015" s="310"/>
      <c r="E1015" s="171" t="str">
        <f>IFERROR(VLOOKUP(E1014,Списки!$E:$F,2,0)," ")</f>
        <v xml:space="preserve"> </v>
      </c>
      <c r="F1015" s="312"/>
      <c r="G1015" s="314"/>
      <c r="H1015" s="315"/>
      <c r="I1015" s="8"/>
      <c r="J1015" s="8"/>
      <c r="K1015" s="8"/>
      <c r="L1015" s="8"/>
      <c r="M1015" s="8"/>
      <c r="N1015" s="8"/>
      <c r="O1015" s="8"/>
      <c r="P1015" s="8"/>
      <c r="Q1015" s="8"/>
      <c r="R1015" s="8"/>
      <c r="S1015" s="8"/>
      <c r="T1015" s="82"/>
    </row>
    <row r="1016" spans="1:20" ht="13.5" customHeight="1" x14ac:dyDescent="0.25">
      <c r="A1016" s="307">
        <v>14</v>
      </c>
      <c r="B1016" s="307"/>
      <c r="C1016" s="170"/>
      <c r="D1016" s="309"/>
      <c r="E1016" s="170"/>
      <c r="F1016" s="311"/>
      <c r="G1016" s="313"/>
      <c r="H1016" s="315"/>
      <c r="I1016" s="8"/>
      <c r="J1016" s="8"/>
      <c r="K1016" s="8"/>
      <c r="L1016" s="8"/>
      <c r="M1016" s="8"/>
      <c r="N1016" s="8"/>
      <c r="O1016" s="8"/>
      <c r="P1016" s="8"/>
      <c r="Q1016" s="8"/>
      <c r="R1016" s="8"/>
      <c r="S1016" s="8"/>
      <c r="T1016" s="82"/>
    </row>
    <row r="1017" spans="1:20" ht="13.5" customHeight="1" x14ac:dyDescent="0.25">
      <c r="A1017" s="308"/>
      <c r="B1017" s="308"/>
      <c r="C1017" s="171" t="str">
        <f>IFERROR(VLOOKUP(C1016,Списки!$E:$F,2,0)," ")</f>
        <v xml:space="preserve"> </v>
      </c>
      <c r="D1017" s="310"/>
      <c r="E1017" s="171" t="str">
        <f>IFERROR(VLOOKUP(E1016,Списки!$E:$F,2,0)," ")</f>
        <v xml:space="preserve"> </v>
      </c>
      <c r="F1017" s="312"/>
      <c r="G1017" s="314"/>
      <c r="H1017" s="315"/>
      <c r="I1017" s="8"/>
      <c r="J1017" s="8"/>
      <c r="K1017" s="8"/>
      <c r="L1017" s="8"/>
      <c r="M1017" s="8"/>
      <c r="N1017" s="8"/>
      <c r="O1017" s="8"/>
      <c r="P1017" s="8"/>
      <c r="Q1017" s="8"/>
      <c r="R1017" s="8"/>
      <c r="S1017" s="8"/>
      <c r="T1017" s="82"/>
    </row>
    <row r="1018" spans="1:20" ht="13.5" customHeight="1" x14ac:dyDescent="0.25">
      <c r="A1018" s="307">
        <v>15</v>
      </c>
      <c r="B1018" s="307"/>
      <c r="C1018" s="170"/>
      <c r="D1018" s="309"/>
      <c r="E1018" s="170"/>
      <c r="F1018" s="311"/>
      <c r="G1018" s="313"/>
      <c r="H1018" s="315"/>
      <c r="I1018" s="8"/>
      <c r="J1018" s="8"/>
      <c r="K1018" s="8"/>
      <c r="L1018" s="8"/>
      <c r="M1018" s="8"/>
      <c r="N1018" s="8"/>
      <c r="O1018" s="8"/>
      <c r="P1018" s="8"/>
      <c r="Q1018" s="8"/>
      <c r="R1018" s="8"/>
      <c r="S1018" s="8"/>
      <c r="T1018" s="82"/>
    </row>
    <row r="1019" spans="1:20" ht="13.5" customHeight="1" x14ac:dyDescent="0.25">
      <c r="A1019" s="308"/>
      <c r="B1019" s="308"/>
      <c r="C1019" s="171" t="str">
        <f>IFERROR(VLOOKUP(C1018,Списки!$E:$F,2,0)," ")</f>
        <v xml:space="preserve"> </v>
      </c>
      <c r="D1019" s="310"/>
      <c r="E1019" s="171" t="str">
        <f>IFERROR(VLOOKUP(E1018,Списки!$E:$F,2,0)," ")</f>
        <v xml:space="preserve"> </v>
      </c>
      <c r="F1019" s="312"/>
      <c r="G1019" s="314"/>
      <c r="H1019" s="315"/>
      <c r="I1019" s="8"/>
      <c r="J1019" s="8"/>
      <c r="K1019" s="8"/>
      <c r="L1019" s="8"/>
      <c r="M1019" s="8"/>
      <c r="N1019" s="8"/>
      <c r="O1019" s="8"/>
      <c r="P1019" s="8"/>
      <c r="Q1019" s="8"/>
      <c r="R1019" s="8"/>
      <c r="S1019" s="8"/>
      <c r="T1019" s="82"/>
    </row>
    <row r="1020" spans="1:20" x14ac:dyDescent="0.25">
      <c r="A1020" s="36"/>
      <c r="B1020" s="37"/>
      <c r="C1020" s="173"/>
      <c r="D1020" s="173"/>
      <c r="E1020" s="174" t="s">
        <v>30</v>
      </c>
      <c r="F1020" s="39">
        <f>IFERROR(SUM(IFERROR(IF((LOOKUP(9E+307,F990:F1019))&gt;$M$39,(LOOKUP(9E+307,F990:F1019))-$M$39,IF((LOOKUP(9E+307,F990:F1019))&lt;0.166666667,0+(LOOKUP(9E+307,F990:F1019))+1-$M$39,0)),0),(IF(AND(IF(D990,$M$38-D990,0)&gt;0,F990,F990&gt;D990),$M$38-D990,IF(AND(D990,F990,D990&gt;F990),"error",0)))),"ОШИБКА")</f>
        <v>0</v>
      </c>
      <c r="G1020" s="40" t="s">
        <v>27</v>
      </c>
      <c r="H1020" s="38">
        <f>SUM(H990:H1019)</f>
        <v>0</v>
      </c>
      <c r="I1020" s="8"/>
      <c r="J1020" s="8"/>
      <c r="K1020" s="8"/>
      <c r="L1020" s="8"/>
      <c r="M1020" s="8"/>
      <c r="N1020" s="8"/>
      <c r="O1020" s="8"/>
      <c r="P1020" s="8"/>
      <c r="Q1020" s="8"/>
      <c r="R1020" s="8"/>
      <c r="S1020" s="8"/>
      <c r="T1020" s="82"/>
    </row>
    <row r="1021" spans="1:20" ht="15.75" x14ac:dyDescent="0.25">
      <c r="A1021" s="316">
        <f>DATE(K1,J1,31)</f>
        <v>43861</v>
      </c>
      <c r="B1021" s="316"/>
      <c r="C1021" s="316"/>
      <c r="D1021" s="316"/>
      <c r="E1021" s="316"/>
      <c r="F1021" s="316"/>
      <c r="G1021" s="316"/>
      <c r="H1021" s="316"/>
      <c r="I1021" s="8"/>
      <c r="J1021" s="8"/>
      <c r="K1021" s="8"/>
      <c r="L1021" s="8"/>
      <c r="M1021" s="8"/>
      <c r="N1021" s="8"/>
      <c r="O1021" s="8"/>
      <c r="P1021" s="8"/>
      <c r="Q1021" s="8"/>
      <c r="R1021" s="8"/>
      <c r="S1021" s="8"/>
      <c r="T1021" s="82"/>
    </row>
    <row r="1022" spans="1:20" ht="13.5" customHeight="1" x14ac:dyDescent="0.25">
      <c r="A1022" s="318"/>
      <c r="B1022" s="320" t="s">
        <v>34</v>
      </c>
      <c r="C1022" s="175" t="s">
        <v>39</v>
      </c>
      <c r="D1022" s="322" t="s">
        <v>36</v>
      </c>
      <c r="E1022" s="175" t="s">
        <v>37</v>
      </c>
      <c r="F1022" s="320" t="s">
        <v>36</v>
      </c>
      <c r="G1022" s="324" t="s">
        <v>35</v>
      </c>
      <c r="H1022" s="315" t="s">
        <v>40</v>
      </c>
      <c r="I1022" s="8"/>
      <c r="J1022" s="8"/>
      <c r="K1022" s="8"/>
      <c r="L1022" s="8"/>
      <c r="M1022" s="8"/>
      <c r="N1022" s="8"/>
      <c r="O1022" s="8"/>
      <c r="P1022" s="8"/>
      <c r="Q1022" s="8"/>
      <c r="R1022" s="8"/>
      <c r="S1022" s="8"/>
      <c r="T1022" s="82"/>
    </row>
    <row r="1023" spans="1:20" ht="13.5" customHeight="1" x14ac:dyDescent="0.25">
      <c r="A1023" s="319"/>
      <c r="B1023" s="321"/>
      <c r="C1023" s="169" t="s">
        <v>38</v>
      </c>
      <c r="D1023" s="323"/>
      <c r="E1023" s="169" t="s">
        <v>38</v>
      </c>
      <c r="F1023" s="321"/>
      <c r="G1023" s="325"/>
      <c r="H1023" s="315"/>
      <c r="I1023" s="8"/>
      <c r="J1023" s="8"/>
      <c r="K1023" s="8"/>
      <c r="L1023" s="8"/>
      <c r="M1023" s="8"/>
      <c r="N1023" s="8"/>
      <c r="O1023" s="8"/>
      <c r="P1023" s="8"/>
      <c r="Q1023" s="8"/>
      <c r="R1023" s="8"/>
      <c r="S1023" s="8"/>
      <c r="T1023" s="82"/>
    </row>
    <row r="1024" spans="1:20" ht="13.5" customHeight="1" x14ac:dyDescent="0.25">
      <c r="A1024" s="307">
        <v>1</v>
      </c>
      <c r="B1024" s="307"/>
      <c r="C1024" s="170" t="s">
        <v>43</v>
      </c>
      <c r="D1024" s="309"/>
      <c r="E1024" s="170" t="s">
        <v>44</v>
      </c>
      <c r="F1024" s="311"/>
      <c r="G1024" s="313"/>
      <c r="H1024" s="315"/>
      <c r="I1024" s="8"/>
      <c r="J1024" s="8"/>
      <c r="K1024" s="8"/>
      <c r="L1024" s="8"/>
      <c r="M1024" s="8"/>
      <c r="N1024" s="8"/>
      <c r="O1024" s="8"/>
      <c r="P1024" s="8"/>
      <c r="Q1024" s="8"/>
      <c r="R1024" s="8"/>
      <c r="S1024" s="8"/>
      <c r="T1024" s="82"/>
    </row>
    <row r="1025" spans="1:20" ht="13.5" customHeight="1" x14ac:dyDescent="0.25">
      <c r="A1025" s="308"/>
      <c r="B1025" s="308"/>
      <c r="C1025" s="171" t="str">
        <f>IFERROR(VLOOKUP(C1024,Списки!$E:$F,2,0)," ")</f>
        <v>SAVUSHKINA ST 128</v>
      </c>
      <c r="D1025" s="310"/>
      <c r="E1025" s="171" t="str">
        <f>IFERROR(VLOOKUP(E1024,Списки!$E:$F,2,0)," ")</f>
        <v>LEVASHOVSKOE HWY 20</v>
      </c>
      <c r="F1025" s="312"/>
      <c r="G1025" s="314"/>
      <c r="H1025" s="315"/>
      <c r="I1025" s="8"/>
      <c r="J1025" s="8"/>
      <c r="K1025" s="8"/>
      <c r="L1025" s="8"/>
      <c r="M1025" s="8"/>
      <c r="N1025" s="8"/>
      <c r="O1025" s="8"/>
      <c r="P1025" s="8"/>
      <c r="Q1025" s="8"/>
      <c r="R1025" s="8"/>
      <c r="S1025" s="8"/>
      <c r="T1025" s="82"/>
    </row>
    <row r="1026" spans="1:20" ht="13.5" customHeight="1" x14ac:dyDescent="0.25">
      <c r="A1026" s="307">
        <v>2</v>
      </c>
      <c r="B1026" s="307"/>
      <c r="C1026" s="170" t="s">
        <v>44</v>
      </c>
      <c r="D1026" s="309"/>
      <c r="E1026" s="170"/>
      <c r="F1026" s="311"/>
      <c r="G1026" s="313"/>
      <c r="H1026" s="315"/>
      <c r="I1026" s="8"/>
      <c r="J1026" s="8"/>
      <c r="K1026" s="8"/>
      <c r="L1026" s="8"/>
      <c r="M1026" s="8"/>
      <c r="N1026" s="8"/>
      <c r="O1026" s="8"/>
      <c r="P1026" s="8"/>
      <c r="Q1026" s="8"/>
      <c r="R1026" s="8"/>
      <c r="S1026" s="8"/>
      <c r="T1026" s="82"/>
    </row>
    <row r="1027" spans="1:20" ht="13.5" customHeight="1" x14ac:dyDescent="0.25">
      <c r="A1027" s="308"/>
      <c r="B1027" s="308"/>
      <c r="C1027" s="171" t="str">
        <f>IFERROR(VLOOKUP(C1026,Списки!$E:$F,2,0)," ")</f>
        <v>LEVASHOVSKOE HWY 20</v>
      </c>
      <c r="D1027" s="310"/>
      <c r="E1027" s="171" t="str">
        <f>IFERROR(VLOOKUP(E1026,Списки!$E:$F,2,0)," ")</f>
        <v xml:space="preserve"> </v>
      </c>
      <c r="F1027" s="312"/>
      <c r="G1027" s="314"/>
      <c r="H1027" s="315"/>
      <c r="I1027" s="8"/>
      <c r="J1027" s="8"/>
      <c r="K1027" s="8"/>
      <c r="L1027" s="8"/>
      <c r="M1027" s="8"/>
      <c r="N1027" s="8"/>
      <c r="O1027" s="8"/>
      <c r="P1027" s="8"/>
      <c r="Q1027" s="8"/>
      <c r="R1027" s="8"/>
      <c r="S1027" s="8"/>
      <c r="T1027" s="82"/>
    </row>
    <row r="1028" spans="1:20" ht="13.5" customHeight="1" x14ac:dyDescent="0.25">
      <c r="A1028" s="307">
        <v>3</v>
      </c>
      <c r="B1028" s="307"/>
      <c r="C1028" s="170"/>
      <c r="D1028" s="309"/>
      <c r="E1028" s="170"/>
      <c r="F1028" s="311"/>
      <c r="G1028" s="313"/>
      <c r="H1028" s="315"/>
      <c r="I1028" s="8"/>
      <c r="J1028" s="8"/>
      <c r="K1028" s="8"/>
      <c r="L1028" s="8"/>
      <c r="M1028" s="8"/>
      <c r="N1028" s="8"/>
      <c r="O1028" s="8"/>
      <c r="P1028" s="8"/>
      <c r="Q1028" s="8"/>
      <c r="R1028" s="8"/>
      <c r="S1028" s="8"/>
      <c r="T1028" s="82"/>
    </row>
    <row r="1029" spans="1:20" ht="13.5" customHeight="1" x14ac:dyDescent="0.25">
      <c r="A1029" s="308"/>
      <c r="B1029" s="308"/>
      <c r="C1029" s="171" t="str">
        <f>IFERROR(VLOOKUP(C1028,Списки!$E:$F,2,0)," ")</f>
        <v xml:space="preserve"> </v>
      </c>
      <c r="D1029" s="310"/>
      <c r="E1029" s="171" t="str">
        <f>IFERROR(VLOOKUP(E1028,Списки!$E:$F,2,0)," ")</f>
        <v xml:space="preserve"> </v>
      </c>
      <c r="F1029" s="312"/>
      <c r="G1029" s="314"/>
      <c r="H1029" s="315"/>
      <c r="I1029" s="8"/>
      <c r="J1029" s="8"/>
      <c r="K1029" s="8"/>
      <c r="L1029" s="8"/>
      <c r="M1029" s="8"/>
      <c r="N1029" s="8"/>
      <c r="O1029" s="8"/>
      <c r="P1029" s="8"/>
      <c r="Q1029" s="8"/>
      <c r="R1029" s="8"/>
      <c r="S1029" s="8"/>
      <c r="T1029" s="82"/>
    </row>
    <row r="1030" spans="1:20" ht="13.5" customHeight="1" x14ac:dyDescent="0.25">
      <c r="A1030" s="307">
        <v>4</v>
      </c>
      <c r="B1030" s="307"/>
      <c r="C1030" s="170"/>
      <c r="D1030" s="309"/>
      <c r="E1030" s="170"/>
      <c r="F1030" s="311"/>
      <c r="G1030" s="313"/>
      <c r="H1030" s="315"/>
      <c r="I1030" s="8"/>
      <c r="J1030" s="8"/>
      <c r="K1030" s="8"/>
      <c r="L1030" s="8"/>
      <c r="M1030" s="8"/>
      <c r="N1030" s="8"/>
      <c r="O1030" s="8"/>
      <c r="P1030" s="8"/>
      <c r="Q1030" s="8"/>
      <c r="R1030" s="8"/>
      <c r="S1030" s="8"/>
      <c r="T1030" s="82"/>
    </row>
    <row r="1031" spans="1:20" ht="13.5" customHeight="1" x14ac:dyDescent="0.25">
      <c r="A1031" s="308"/>
      <c r="B1031" s="308"/>
      <c r="C1031" s="171" t="str">
        <f>IFERROR(VLOOKUP(C1030,Списки!$E:$F,2,0)," ")</f>
        <v xml:space="preserve"> </v>
      </c>
      <c r="D1031" s="310"/>
      <c r="E1031" s="171" t="str">
        <f>IFERROR(VLOOKUP(E1030,Списки!$E:$F,2,0)," ")</f>
        <v xml:space="preserve"> </v>
      </c>
      <c r="F1031" s="312"/>
      <c r="G1031" s="314"/>
      <c r="H1031" s="315"/>
      <c r="I1031" s="8"/>
      <c r="J1031" s="8"/>
      <c r="K1031" s="8"/>
      <c r="L1031" s="8"/>
      <c r="M1031" s="8"/>
      <c r="N1031" s="8"/>
      <c r="O1031" s="8"/>
      <c r="P1031" s="8"/>
      <c r="Q1031" s="8"/>
      <c r="R1031" s="8"/>
      <c r="S1031" s="8"/>
      <c r="T1031" s="82"/>
    </row>
    <row r="1032" spans="1:20" ht="13.5" customHeight="1" x14ac:dyDescent="0.25">
      <c r="A1032" s="307">
        <v>5</v>
      </c>
      <c r="B1032" s="307"/>
      <c r="C1032" s="170"/>
      <c r="D1032" s="309"/>
      <c r="E1032" s="172"/>
      <c r="F1032" s="311"/>
      <c r="G1032" s="313"/>
      <c r="H1032" s="315"/>
      <c r="I1032" s="8"/>
      <c r="J1032" s="8"/>
      <c r="K1032" s="8"/>
      <c r="L1032" s="8"/>
      <c r="M1032" s="8"/>
      <c r="N1032" s="8"/>
      <c r="O1032" s="8"/>
      <c r="P1032" s="8"/>
      <c r="Q1032" s="8"/>
      <c r="R1032" s="8"/>
      <c r="S1032" s="8"/>
      <c r="T1032" s="82"/>
    </row>
    <row r="1033" spans="1:20" ht="13.5" customHeight="1" x14ac:dyDescent="0.25">
      <c r="A1033" s="308"/>
      <c r="B1033" s="308"/>
      <c r="C1033" s="171" t="str">
        <f>IFERROR(VLOOKUP(C1032,Списки!$E:$F,2,0)," ")</f>
        <v xml:space="preserve"> </v>
      </c>
      <c r="D1033" s="310"/>
      <c r="E1033" s="172" t="str">
        <f>IFERROR(VLOOKUP(E1032,Списки!$E:$F,2,0)," ")</f>
        <v xml:space="preserve"> </v>
      </c>
      <c r="F1033" s="312"/>
      <c r="G1033" s="314"/>
      <c r="H1033" s="315"/>
      <c r="I1033" s="8"/>
      <c r="J1033" s="8"/>
      <c r="K1033" s="8"/>
      <c r="L1033" s="8"/>
      <c r="M1033" s="8"/>
      <c r="N1033" s="8"/>
      <c r="O1033" s="8"/>
      <c r="P1033" s="8"/>
      <c r="Q1033" s="8"/>
      <c r="R1033" s="8"/>
      <c r="S1033" s="8"/>
      <c r="T1033" s="82"/>
    </row>
    <row r="1034" spans="1:20" ht="13.5" customHeight="1" x14ac:dyDescent="0.25">
      <c r="A1034" s="307">
        <v>6</v>
      </c>
      <c r="B1034" s="307"/>
      <c r="C1034" s="170"/>
      <c r="D1034" s="309"/>
      <c r="E1034" s="170"/>
      <c r="F1034" s="311"/>
      <c r="G1034" s="313"/>
      <c r="H1034" s="315"/>
      <c r="I1034" s="8"/>
      <c r="J1034" s="8"/>
      <c r="K1034" s="8"/>
      <c r="L1034" s="8"/>
      <c r="M1034" s="8"/>
      <c r="N1034" s="8"/>
      <c r="O1034" s="8"/>
      <c r="P1034" s="8"/>
      <c r="Q1034" s="8"/>
      <c r="R1034" s="8"/>
      <c r="S1034" s="8"/>
      <c r="T1034" s="82"/>
    </row>
    <row r="1035" spans="1:20" ht="13.5" customHeight="1" x14ac:dyDescent="0.25">
      <c r="A1035" s="308"/>
      <c r="B1035" s="308"/>
      <c r="C1035" s="171" t="str">
        <f>IFERROR(VLOOKUP(C1034,Списки!$E:$F,2,0)," ")</f>
        <v xml:space="preserve"> </v>
      </c>
      <c r="D1035" s="310"/>
      <c r="E1035" s="179" t="str">
        <f>IFERROR(VLOOKUP(E1034,Списки!$E:$F,2,0)," ")</f>
        <v xml:space="preserve"> </v>
      </c>
      <c r="F1035" s="312"/>
      <c r="G1035" s="314"/>
      <c r="H1035" s="315"/>
      <c r="I1035" s="8"/>
      <c r="J1035" s="8"/>
      <c r="K1035" s="8"/>
      <c r="L1035" s="8"/>
      <c r="M1035" s="8"/>
      <c r="N1035" s="8"/>
      <c r="O1035" s="8"/>
      <c r="P1035" s="8"/>
      <c r="Q1035" s="8"/>
      <c r="R1035" s="8"/>
      <c r="S1035" s="8"/>
      <c r="T1035" s="82"/>
    </row>
    <row r="1036" spans="1:20" ht="13.5" customHeight="1" x14ac:dyDescent="0.25">
      <c r="A1036" s="307">
        <v>7</v>
      </c>
      <c r="B1036" s="307"/>
      <c r="C1036" s="170"/>
      <c r="D1036" s="309"/>
      <c r="E1036" s="170"/>
      <c r="F1036" s="311"/>
      <c r="G1036" s="313"/>
      <c r="H1036" s="315"/>
      <c r="I1036" s="8"/>
      <c r="J1036" s="8"/>
      <c r="K1036" s="8"/>
      <c r="L1036" s="8"/>
      <c r="M1036" s="8"/>
      <c r="N1036" s="8"/>
      <c r="O1036" s="8"/>
      <c r="P1036" s="8"/>
      <c r="Q1036" s="8"/>
      <c r="R1036" s="8"/>
      <c r="S1036" s="8"/>
      <c r="T1036" s="82"/>
    </row>
    <row r="1037" spans="1:20" ht="13.5" customHeight="1" x14ac:dyDescent="0.25">
      <c r="A1037" s="308"/>
      <c r="B1037" s="308"/>
      <c r="C1037" s="179" t="str">
        <f>IFERROR(VLOOKUP(C1036,Списки!$E:$F,2,0)," ")</f>
        <v xml:space="preserve"> </v>
      </c>
      <c r="D1037" s="310"/>
      <c r="E1037" s="171" t="str">
        <f>IFERROR(VLOOKUP(E1036,Списки!$E:$F,2,0)," ")</f>
        <v xml:space="preserve"> </v>
      </c>
      <c r="F1037" s="312"/>
      <c r="G1037" s="314"/>
      <c r="H1037" s="315"/>
      <c r="I1037" s="8"/>
      <c r="J1037" s="8"/>
      <c r="K1037" s="8"/>
      <c r="L1037" s="8"/>
      <c r="M1037" s="8"/>
      <c r="N1037" s="8"/>
      <c r="O1037" s="8"/>
      <c r="P1037" s="8"/>
      <c r="Q1037" s="8"/>
      <c r="R1037" s="8"/>
      <c r="S1037" s="8"/>
      <c r="T1037" s="82"/>
    </row>
    <row r="1038" spans="1:20" ht="13.5" customHeight="1" x14ac:dyDescent="0.25">
      <c r="A1038" s="307">
        <v>8</v>
      </c>
      <c r="B1038" s="307"/>
      <c r="C1038" s="170"/>
      <c r="D1038" s="309"/>
      <c r="E1038" s="170"/>
      <c r="F1038" s="311"/>
      <c r="G1038" s="313"/>
      <c r="H1038" s="315"/>
      <c r="I1038" s="8"/>
      <c r="J1038" s="8"/>
      <c r="K1038" s="8"/>
      <c r="L1038" s="8"/>
      <c r="M1038" s="8"/>
      <c r="N1038" s="8"/>
      <c r="O1038" s="8"/>
      <c r="P1038" s="8"/>
      <c r="Q1038" s="8"/>
      <c r="R1038" s="8"/>
      <c r="S1038" s="8"/>
      <c r="T1038" s="82"/>
    </row>
    <row r="1039" spans="1:20" ht="13.5" customHeight="1" x14ac:dyDescent="0.25">
      <c r="A1039" s="308"/>
      <c r="B1039" s="308"/>
      <c r="C1039" s="179" t="str">
        <f>IFERROR(VLOOKUP(C1038,Списки!$E:$F,2,0)," ")</f>
        <v xml:space="preserve"> </v>
      </c>
      <c r="D1039" s="310"/>
      <c r="E1039" s="171" t="str">
        <f>IFERROR(VLOOKUP(E1038,Списки!$E:$F,2,0)," ")</f>
        <v xml:space="preserve"> </v>
      </c>
      <c r="F1039" s="312"/>
      <c r="G1039" s="314"/>
      <c r="H1039" s="315"/>
      <c r="I1039" s="8"/>
      <c r="J1039" s="8"/>
      <c r="K1039" s="8"/>
      <c r="L1039" s="8"/>
      <c r="M1039" s="8"/>
      <c r="N1039" s="8"/>
      <c r="O1039" s="8"/>
      <c r="P1039" s="8"/>
      <c r="Q1039" s="8"/>
      <c r="R1039" s="8"/>
      <c r="S1039" s="8"/>
      <c r="T1039" s="82"/>
    </row>
    <row r="1040" spans="1:20" ht="13.5" customHeight="1" x14ac:dyDescent="0.25">
      <c r="A1040" s="307">
        <v>9</v>
      </c>
      <c r="B1040" s="307"/>
      <c r="C1040" s="170"/>
      <c r="D1040" s="309"/>
      <c r="E1040" s="170"/>
      <c r="F1040" s="311"/>
      <c r="G1040" s="313"/>
      <c r="H1040" s="315"/>
      <c r="I1040" s="8"/>
      <c r="J1040" s="8"/>
      <c r="K1040" s="8"/>
      <c r="L1040" s="8"/>
      <c r="M1040" s="8"/>
      <c r="N1040" s="8"/>
      <c r="O1040" s="8"/>
      <c r="P1040" s="8"/>
      <c r="Q1040" s="8"/>
      <c r="R1040" s="8"/>
      <c r="S1040" s="8"/>
      <c r="T1040" s="82"/>
    </row>
    <row r="1041" spans="1:20" ht="13.5" customHeight="1" x14ac:dyDescent="0.25">
      <c r="A1041" s="308"/>
      <c r="B1041" s="308"/>
      <c r="C1041" s="171" t="str">
        <f>IFERROR(VLOOKUP(C1040,Списки!$E:$F,2,0)," ")</f>
        <v xml:space="preserve"> </v>
      </c>
      <c r="D1041" s="310"/>
      <c r="E1041" s="171" t="str">
        <f>IFERROR(VLOOKUP(E1040,Списки!$E:$F,2,0)," ")</f>
        <v xml:space="preserve"> </v>
      </c>
      <c r="F1041" s="312"/>
      <c r="G1041" s="314"/>
      <c r="H1041" s="315"/>
      <c r="I1041" s="8"/>
      <c r="J1041" s="8"/>
      <c r="K1041" s="8"/>
      <c r="L1041" s="8"/>
      <c r="M1041" s="8"/>
      <c r="N1041" s="8"/>
      <c r="O1041" s="8"/>
      <c r="P1041" s="8"/>
      <c r="Q1041" s="8"/>
      <c r="R1041" s="8"/>
      <c r="S1041" s="8"/>
      <c r="T1041" s="82"/>
    </row>
    <row r="1042" spans="1:20" ht="13.5" customHeight="1" x14ac:dyDescent="0.25">
      <c r="A1042" s="307">
        <v>10</v>
      </c>
      <c r="B1042" s="307"/>
      <c r="C1042" s="170"/>
      <c r="D1042" s="309"/>
      <c r="E1042" s="170"/>
      <c r="F1042" s="311"/>
      <c r="G1042" s="313"/>
      <c r="H1042" s="315"/>
      <c r="I1042" s="8"/>
      <c r="J1042" s="8"/>
      <c r="K1042" s="8"/>
      <c r="L1042" s="8"/>
      <c r="M1042" s="8"/>
      <c r="N1042" s="8"/>
      <c r="O1042" s="8"/>
      <c r="P1042" s="8"/>
      <c r="Q1042" s="8"/>
      <c r="R1042" s="8"/>
      <c r="S1042" s="8"/>
      <c r="T1042" s="82"/>
    </row>
    <row r="1043" spans="1:20" ht="13.5" customHeight="1" x14ac:dyDescent="0.25">
      <c r="A1043" s="308"/>
      <c r="B1043" s="308"/>
      <c r="C1043" s="171" t="str">
        <f>IFERROR(VLOOKUP(C1042,Списки!$E:$F,2,0)," ")</f>
        <v xml:space="preserve"> </v>
      </c>
      <c r="D1043" s="310"/>
      <c r="E1043" s="171" t="str">
        <f>IFERROR(VLOOKUP(E1042,Списки!$E:$F,2,0)," ")</f>
        <v xml:space="preserve"> </v>
      </c>
      <c r="F1043" s="312"/>
      <c r="G1043" s="314"/>
      <c r="H1043" s="315"/>
      <c r="I1043" s="8"/>
      <c r="J1043" s="8"/>
      <c r="K1043" s="8"/>
      <c r="L1043" s="8"/>
      <c r="M1043" s="8"/>
      <c r="N1043" s="8"/>
      <c r="O1043" s="8"/>
      <c r="P1043" s="8"/>
      <c r="Q1043" s="8"/>
      <c r="R1043" s="8"/>
      <c r="S1043" s="8"/>
      <c r="T1043" s="82"/>
    </row>
    <row r="1044" spans="1:20" ht="13.5" customHeight="1" x14ac:dyDescent="0.25">
      <c r="A1044" s="307">
        <v>11</v>
      </c>
      <c r="B1044" s="307"/>
      <c r="C1044" s="170"/>
      <c r="D1044" s="309"/>
      <c r="E1044" s="170"/>
      <c r="F1044" s="311"/>
      <c r="G1044" s="313"/>
      <c r="H1044" s="315"/>
      <c r="I1044" s="8"/>
      <c r="J1044" s="8"/>
      <c r="K1044" s="8"/>
      <c r="L1044" s="8"/>
      <c r="M1044" s="8"/>
      <c r="N1044" s="8"/>
      <c r="O1044" s="8"/>
      <c r="P1044" s="8"/>
      <c r="Q1044" s="8"/>
      <c r="R1044" s="8"/>
      <c r="S1044" s="8"/>
      <c r="T1044" s="82"/>
    </row>
    <row r="1045" spans="1:20" ht="13.5" customHeight="1" x14ac:dyDescent="0.25">
      <c r="A1045" s="308"/>
      <c r="B1045" s="308"/>
      <c r="C1045" s="171" t="str">
        <f>IFERROR(VLOOKUP(C1044,Списки!$E:$F,2,0)," ")</f>
        <v xml:space="preserve"> </v>
      </c>
      <c r="D1045" s="310"/>
      <c r="E1045" s="171" t="str">
        <f>IFERROR(VLOOKUP(E1044,Списки!$E:$F,2,0)," ")</f>
        <v xml:space="preserve"> </v>
      </c>
      <c r="F1045" s="312"/>
      <c r="G1045" s="314"/>
      <c r="H1045" s="315"/>
      <c r="I1045" s="8"/>
      <c r="J1045" s="8"/>
      <c r="K1045" s="8"/>
      <c r="L1045" s="8"/>
      <c r="M1045" s="8"/>
      <c r="N1045" s="8"/>
      <c r="O1045" s="8"/>
      <c r="P1045" s="8"/>
      <c r="Q1045" s="8"/>
      <c r="R1045" s="8"/>
      <c r="S1045" s="8"/>
      <c r="T1045" s="82"/>
    </row>
    <row r="1046" spans="1:20" ht="13.5" customHeight="1" x14ac:dyDescent="0.25">
      <c r="A1046" s="307">
        <v>12</v>
      </c>
      <c r="B1046" s="307"/>
      <c r="C1046" s="170"/>
      <c r="D1046" s="309"/>
      <c r="E1046" s="170"/>
      <c r="F1046" s="311"/>
      <c r="G1046" s="313"/>
      <c r="H1046" s="315"/>
      <c r="I1046" s="8"/>
      <c r="J1046" s="8"/>
      <c r="K1046" s="8"/>
      <c r="L1046" s="8"/>
      <c r="M1046" s="8"/>
      <c r="N1046" s="8"/>
      <c r="O1046" s="8"/>
      <c r="P1046" s="8"/>
      <c r="Q1046" s="8"/>
      <c r="R1046" s="8"/>
      <c r="S1046" s="8"/>
      <c r="T1046" s="82"/>
    </row>
    <row r="1047" spans="1:20" ht="13.5" customHeight="1" x14ac:dyDescent="0.25">
      <c r="A1047" s="308"/>
      <c r="B1047" s="308"/>
      <c r="C1047" s="171" t="str">
        <f>IFERROR(VLOOKUP(C1046,Списки!$E:$F,2,0)," ")</f>
        <v xml:space="preserve"> </v>
      </c>
      <c r="D1047" s="310"/>
      <c r="E1047" s="171" t="str">
        <f>IFERROR(VLOOKUP(E1046,Списки!$E:$F,2,0)," ")</f>
        <v xml:space="preserve"> </v>
      </c>
      <c r="F1047" s="312"/>
      <c r="G1047" s="314"/>
      <c r="H1047" s="315"/>
      <c r="I1047" s="8"/>
      <c r="J1047" s="8"/>
      <c r="K1047" s="8"/>
      <c r="L1047" s="8"/>
      <c r="M1047" s="8"/>
      <c r="N1047" s="8"/>
      <c r="O1047" s="8"/>
      <c r="P1047" s="8"/>
      <c r="Q1047" s="8"/>
      <c r="R1047" s="8"/>
      <c r="S1047" s="8"/>
      <c r="T1047" s="82"/>
    </row>
    <row r="1048" spans="1:20" ht="13.5" customHeight="1" x14ac:dyDescent="0.25">
      <c r="A1048" s="307">
        <v>13</v>
      </c>
      <c r="B1048" s="307"/>
      <c r="C1048" s="170"/>
      <c r="D1048" s="309"/>
      <c r="E1048" s="170"/>
      <c r="F1048" s="311"/>
      <c r="G1048" s="313"/>
      <c r="H1048" s="315"/>
      <c r="I1048" s="8"/>
      <c r="J1048" s="8"/>
      <c r="K1048" s="8"/>
      <c r="L1048" s="8"/>
      <c r="M1048" s="8"/>
      <c r="N1048" s="8"/>
      <c r="O1048" s="8"/>
      <c r="P1048" s="8"/>
      <c r="Q1048" s="8"/>
      <c r="R1048" s="8"/>
      <c r="S1048" s="8"/>
      <c r="T1048" s="82"/>
    </row>
    <row r="1049" spans="1:20" ht="13.5" customHeight="1" x14ac:dyDescent="0.25">
      <c r="A1049" s="308"/>
      <c r="B1049" s="308"/>
      <c r="C1049" s="171" t="str">
        <f>IFERROR(VLOOKUP(C1048,Списки!$E:$F,2,0)," ")</f>
        <v xml:space="preserve"> </v>
      </c>
      <c r="D1049" s="310"/>
      <c r="E1049" s="171" t="str">
        <f>IFERROR(VLOOKUP(E1048,Списки!$E:$F,2,0)," ")</f>
        <v xml:space="preserve"> </v>
      </c>
      <c r="F1049" s="312"/>
      <c r="G1049" s="314"/>
      <c r="H1049" s="315"/>
      <c r="I1049" s="8"/>
      <c r="J1049" s="8"/>
      <c r="K1049" s="8"/>
      <c r="L1049" s="8"/>
      <c r="M1049" s="8"/>
      <c r="N1049" s="8"/>
      <c r="O1049" s="8"/>
      <c r="P1049" s="8"/>
      <c r="Q1049" s="8"/>
      <c r="R1049" s="8"/>
      <c r="S1049" s="8"/>
      <c r="T1049" s="82"/>
    </row>
    <row r="1050" spans="1:20" ht="13.5" customHeight="1" x14ac:dyDescent="0.25">
      <c r="A1050" s="307">
        <v>14</v>
      </c>
      <c r="B1050" s="307"/>
      <c r="C1050" s="170"/>
      <c r="D1050" s="309"/>
      <c r="E1050" s="170"/>
      <c r="F1050" s="311"/>
      <c r="G1050" s="313"/>
      <c r="H1050" s="315"/>
      <c r="I1050" s="8"/>
      <c r="J1050" s="8"/>
      <c r="K1050" s="8"/>
      <c r="L1050" s="8"/>
      <c r="M1050" s="8"/>
      <c r="N1050" s="8"/>
      <c r="O1050" s="8"/>
      <c r="P1050" s="8"/>
      <c r="Q1050" s="8"/>
      <c r="R1050" s="8"/>
      <c r="S1050" s="8"/>
      <c r="T1050" s="82"/>
    </row>
    <row r="1051" spans="1:20" ht="13.5" customHeight="1" x14ac:dyDescent="0.25">
      <c r="A1051" s="308"/>
      <c r="B1051" s="308"/>
      <c r="C1051" s="171" t="str">
        <f>IFERROR(VLOOKUP(C1050,Списки!$E:$F,2,0)," ")</f>
        <v xml:space="preserve"> </v>
      </c>
      <c r="D1051" s="310"/>
      <c r="E1051" s="171" t="str">
        <f>IFERROR(VLOOKUP(E1050,Списки!$E:$F,2,0)," ")</f>
        <v xml:space="preserve"> </v>
      </c>
      <c r="F1051" s="312"/>
      <c r="G1051" s="314"/>
      <c r="H1051" s="315"/>
      <c r="I1051" s="8"/>
      <c r="J1051" s="8"/>
      <c r="K1051" s="8"/>
      <c r="L1051" s="8"/>
      <c r="M1051" s="8"/>
      <c r="N1051" s="8"/>
      <c r="O1051" s="8"/>
      <c r="P1051" s="8"/>
      <c r="Q1051" s="8"/>
      <c r="R1051" s="8"/>
      <c r="S1051" s="8"/>
      <c r="T1051" s="82"/>
    </row>
    <row r="1052" spans="1:20" ht="13.5" customHeight="1" x14ac:dyDescent="0.25">
      <c r="A1052" s="307">
        <v>15</v>
      </c>
      <c r="B1052" s="307"/>
      <c r="C1052" s="170"/>
      <c r="D1052" s="309"/>
      <c r="E1052" s="170"/>
      <c r="F1052" s="311"/>
      <c r="G1052" s="313"/>
      <c r="H1052" s="315"/>
      <c r="I1052" s="8"/>
      <c r="J1052" s="8"/>
      <c r="K1052" s="8"/>
      <c r="L1052" s="8"/>
      <c r="M1052" s="8"/>
      <c r="N1052" s="8"/>
      <c r="O1052" s="8"/>
      <c r="P1052" s="8"/>
      <c r="Q1052" s="8"/>
      <c r="R1052" s="8"/>
      <c r="S1052" s="8"/>
      <c r="T1052" s="82"/>
    </row>
    <row r="1053" spans="1:20" ht="13.5" customHeight="1" x14ac:dyDescent="0.25">
      <c r="A1053" s="308"/>
      <c r="B1053" s="308"/>
      <c r="C1053" s="171" t="str">
        <f>IFERROR(VLOOKUP(C1052,Списки!$E:$F,2,0)," ")</f>
        <v xml:space="preserve"> </v>
      </c>
      <c r="D1053" s="310"/>
      <c r="E1053" s="171" t="str">
        <f>IFERROR(VLOOKUP(E1052,Списки!$E:$F,2,0)," ")</f>
        <v xml:space="preserve"> </v>
      </c>
      <c r="F1053" s="312"/>
      <c r="G1053" s="314"/>
      <c r="H1053" s="315"/>
      <c r="I1053" s="8"/>
      <c r="J1053" s="8"/>
      <c r="K1053" s="8"/>
      <c r="L1053" s="8"/>
      <c r="M1053" s="8"/>
      <c r="N1053" s="8"/>
      <c r="O1053" s="8"/>
      <c r="P1053" s="8"/>
      <c r="Q1053" s="8"/>
      <c r="R1053" s="8"/>
      <c r="S1053" s="8"/>
      <c r="T1053" s="82"/>
    </row>
    <row r="1054" spans="1:20" x14ac:dyDescent="0.25">
      <c r="A1054" s="36"/>
      <c r="B1054" s="37"/>
      <c r="C1054" s="173"/>
      <c r="D1054" s="173"/>
      <c r="E1054" s="174" t="s">
        <v>30</v>
      </c>
      <c r="F1054" s="39">
        <f>IFERROR(SUM(IFERROR(IF((LOOKUP(9E+307,F1024:F1053))&gt;$M$39,(LOOKUP(9E+307,F1024:F1053))-$M$39,IF((LOOKUP(9E+307,F1024:F1053))&lt;0.166666667,0+(LOOKUP(9E+307,F1024:F1053))+1-$M$39,0)),0),(IF(AND(IF(D1024,$M$38-D1024,0)&gt;0,F1024,F1024&gt;D1024),$M$38-D1024,IF(AND(D1024,F1024,D1024&gt;F1024),"error",0)))),"ОШИБКА")</f>
        <v>0</v>
      </c>
      <c r="G1054" s="40" t="s">
        <v>27</v>
      </c>
      <c r="H1054" s="38">
        <f>SUM(H1024:H1053)</f>
        <v>0</v>
      </c>
      <c r="I1054" s="8"/>
      <c r="J1054" s="8"/>
      <c r="K1054" s="8"/>
      <c r="L1054" s="8"/>
      <c r="M1054" s="8"/>
      <c r="N1054" s="8"/>
      <c r="O1054" s="8"/>
      <c r="P1054" s="8"/>
      <c r="Q1054" s="8"/>
      <c r="R1054" s="8"/>
      <c r="S1054" s="8"/>
      <c r="T1054" s="82"/>
    </row>
    <row r="1055" spans="1:20" x14ac:dyDescent="0.25">
      <c r="A1055" s="8"/>
      <c r="B1055" s="85"/>
      <c r="C1055" s="176"/>
      <c r="D1055" s="176"/>
      <c r="E1055" s="176"/>
      <c r="F1055" s="8"/>
      <c r="G1055" s="8"/>
      <c r="H1055" s="8"/>
      <c r="I1055" s="8"/>
      <c r="J1055" s="8"/>
      <c r="K1055" s="8"/>
      <c r="L1055" s="8"/>
      <c r="M1055" s="8"/>
      <c r="N1055" s="8"/>
      <c r="O1055" s="8"/>
      <c r="P1055" s="8"/>
      <c r="Q1055" s="8"/>
      <c r="R1055" s="8"/>
      <c r="S1055" s="8"/>
      <c r="T1055" s="82"/>
    </row>
    <row r="1056" spans="1:20" hidden="1" x14ac:dyDescent="0.25">
      <c r="A1056" s="8"/>
      <c r="B1056" s="85"/>
      <c r="C1056" s="176"/>
      <c r="D1056" s="176"/>
      <c r="E1056" s="176"/>
      <c r="F1056" s="8"/>
      <c r="G1056" s="8"/>
      <c r="H1056" s="8"/>
      <c r="I1056" s="8"/>
      <c r="J1056" s="8"/>
      <c r="K1056" s="8"/>
      <c r="L1056" s="8"/>
      <c r="M1056" s="8"/>
      <c r="N1056" s="8"/>
      <c r="O1056" s="8"/>
      <c r="P1056" s="8"/>
      <c r="Q1056" s="8"/>
      <c r="R1056" s="8"/>
      <c r="S1056" s="8"/>
      <c r="T1056" s="82"/>
    </row>
    <row r="1057" spans="1:20" hidden="1" x14ac:dyDescent="0.25">
      <c r="A1057" s="83"/>
      <c r="B1057" s="86"/>
      <c r="C1057" s="177"/>
      <c r="D1057" s="177"/>
      <c r="E1057" s="177"/>
      <c r="F1057" s="83"/>
      <c r="G1057" s="83"/>
      <c r="H1057" s="83"/>
      <c r="I1057" s="83"/>
      <c r="J1057" s="83"/>
      <c r="K1057" s="83"/>
      <c r="L1057" s="83"/>
      <c r="M1057" s="83"/>
      <c r="N1057" s="83"/>
      <c r="O1057" s="83"/>
      <c r="P1057" s="83"/>
      <c r="Q1057" s="83"/>
      <c r="R1057" s="83"/>
      <c r="S1057" s="83"/>
      <c r="T1057" s="84"/>
    </row>
    <row r="1058" spans="1:20" hidden="1" x14ac:dyDescent="0.25"/>
    <row r="1059" spans="1:20" hidden="1" x14ac:dyDescent="0.25"/>
    <row r="1060" spans="1:20" hidden="1" x14ac:dyDescent="0.25">
      <c r="M1060" s="3"/>
    </row>
    <row r="1061" spans="1:20" hidden="1" x14ac:dyDescent="0.25">
      <c r="J1061" s="6"/>
      <c r="K1061" s="6"/>
    </row>
    <row r="1062" spans="1:20" hidden="1" x14ac:dyDescent="0.25">
      <c r="J1062" s="3"/>
      <c r="K1062" s="3"/>
    </row>
    <row r="1063" spans="1:20" hidden="1" x14ac:dyDescent="0.25">
      <c r="J1063" s="6"/>
      <c r="K1063" s="3"/>
    </row>
  </sheetData>
  <mergeCells count="3043">
    <mergeCell ref="L37:M37"/>
    <mergeCell ref="D6:D7"/>
    <mergeCell ref="F12:F13"/>
    <mergeCell ref="B12:B13"/>
    <mergeCell ref="D12:D13"/>
    <mergeCell ref="A10:A11"/>
    <mergeCell ref="A12:A13"/>
    <mergeCell ref="F16:F17"/>
    <mergeCell ref="B64:B65"/>
    <mergeCell ref="A66:A67"/>
    <mergeCell ref="B66:B67"/>
    <mergeCell ref="D66:D67"/>
    <mergeCell ref="F66:F67"/>
    <mergeCell ref="A62:A63"/>
    <mergeCell ref="B62:B63"/>
    <mergeCell ref="A60:A61"/>
    <mergeCell ref="B60:B61"/>
    <mergeCell ref="B52:B53"/>
    <mergeCell ref="D52:D53"/>
    <mergeCell ref="F52:F53"/>
    <mergeCell ref="A54:A55"/>
    <mergeCell ref="F60:F61"/>
    <mergeCell ref="B54:B55"/>
    <mergeCell ref="D54:D55"/>
    <mergeCell ref="F54:F55"/>
    <mergeCell ref="D56:D57"/>
    <mergeCell ref="F56:F57"/>
    <mergeCell ref="B58:B59"/>
    <mergeCell ref="D62:D63"/>
    <mergeCell ref="A24:A25"/>
    <mergeCell ref="B24:B25"/>
    <mergeCell ref="F50:F51"/>
    <mergeCell ref="A48:A49"/>
    <mergeCell ref="A1:H1"/>
    <mergeCell ref="A2:A3"/>
    <mergeCell ref="B2:B3"/>
    <mergeCell ref="D4:D5"/>
    <mergeCell ref="F4:F5"/>
    <mergeCell ref="F2:F3"/>
    <mergeCell ref="G4:G5"/>
    <mergeCell ref="G2:G3"/>
    <mergeCell ref="H2:H3"/>
    <mergeCell ref="H10:H11"/>
    <mergeCell ref="G12:G13"/>
    <mergeCell ref="G8:G9"/>
    <mergeCell ref="H8:H9"/>
    <mergeCell ref="G10:G11"/>
    <mergeCell ref="G6:G7"/>
    <mergeCell ref="H4:H5"/>
    <mergeCell ref="D14:D15"/>
    <mergeCell ref="F8:F9"/>
    <mergeCell ref="B8:B9"/>
    <mergeCell ref="F10:F11"/>
    <mergeCell ref="B10:B11"/>
    <mergeCell ref="D10:D11"/>
    <mergeCell ref="F14:F15"/>
    <mergeCell ref="H6:H7"/>
    <mergeCell ref="A14:A15"/>
    <mergeCell ref="B14:B15"/>
    <mergeCell ref="D2:D3"/>
    <mergeCell ref="A4:A5"/>
    <mergeCell ref="B4:B5"/>
    <mergeCell ref="F6:F7"/>
    <mergeCell ref="A6:A7"/>
    <mergeCell ref="B6:B7"/>
    <mergeCell ref="H52:H53"/>
    <mergeCell ref="G38:G39"/>
    <mergeCell ref="H20:H21"/>
    <mergeCell ref="G14:G15"/>
    <mergeCell ref="H14:H15"/>
    <mergeCell ref="G16:G17"/>
    <mergeCell ref="H16:H17"/>
    <mergeCell ref="H18:H19"/>
    <mergeCell ref="H12:H13"/>
    <mergeCell ref="A8:A9"/>
    <mergeCell ref="D8:D9"/>
    <mergeCell ref="H22:H23"/>
    <mergeCell ref="A16:A17"/>
    <mergeCell ref="B16:B17"/>
    <mergeCell ref="G20:G21"/>
    <mergeCell ref="F22:F23"/>
    <mergeCell ref="G22:G23"/>
    <mergeCell ref="F20:F21"/>
    <mergeCell ref="F18:F19"/>
    <mergeCell ref="D22:D23"/>
    <mergeCell ref="D18:D19"/>
    <mergeCell ref="D16:D17"/>
    <mergeCell ref="G18:G19"/>
    <mergeCell ref="A20:A21"/>
    <mergeCell ref="B20:B21"/>
    <mergeCell ref="B18:B19"/>
    <mergeCell ref="A22:A23"/>
    <mergeCell ref="B22:B23"/>
    <mergeCell ref="A18:A19"/>
    <mergeCell ref="D20:D21"/>
    <mergeCell ref="H26:H27"/>
    <mergeCell ref="A28:A29"/>
    <mergeCell ref="B28:B29"/>
    <mergeCell ref="D28:D29"/>
    <mergeCell ref="F28:F29"/>
    <mergeCell ref="G28:G29"/>
    <mergeCell ref="H28:H29"/>
    <mergeCell ref="D24:D25"/>
    <mergeCell ref="F24:F25"/>
    <mergeCell ref="G24:G25"/>
    <mergeCell ref="A26:A27"/>
    <mergeCell ref="B26:B27"/>
    <mergeCell ref="D26:D27"/>
    <mergeCell ref="G26:G27"/>
    <mergeCell ref="F26:F27"/>
    <mergeCell ref="G30:G31"/>
    <mergeCell ref="H30:H31"/>
    <mergeCell ref="A30:A31"/>
    <mergeCell ref="B30:B31"/>
    <mergeCell ref="F30:F31"/>
    <mergeCell ref="D30:D31"/>
    <mergeCell ref="H24:H25"/>
    <mergeCell ref="H80:H81"/>
    <mergeCell ref="H42:H43"/>
    <mergeCell ref="A32:A33"/>
    <mergeCell ref="A40:A41"/>
    <mergeCell ref="B40:B41"/>
    <mergeCell ref="A42:A43"/>
    <mergeCell ref="B32:B33"/>
    <mergeCell ref="F32:F33"/>
    <mergeCell ref="D32:D33"/>
    <mergeCell ref="G32:G33"/>
    <mergeCell ref="A74:A75"/>
    <mergeCell ref="B74:B75"/>
    <mergeCell ref="A72:A73"/>
    <mergeCell ref="A50:A51"/>
    <mergeCell ref="B50:B51"/>
    <mergeCell ref="A56:A57"/>
    <mergeCell ref="B56:B57"/>
    <mergeCell ref="A52:A53"/>
    <mergeCell ref="A58:A59"/>
    <mergeCell ref="A64:A65"/>
    <mergeCell ref="A36:A37"/>
    <mergeCell ref="B36:B37"/>
    <mergeCell ref="D36:D37"/>
    <mergeCell ref="A35:H35"/>
    <mergeCell ref="F36:F37"/>
    <mergeCell ref="H36:H37"/>
    <mergeCell ref="G36:G37"/>
    <mergeCell ref="F62:F63"/>
    <mergeCell ref="G58:G59"/>
    <mergeCell ref="H58:H59"/>
    <mergeCell ref="F58:F59"/>
    <mergeCell ref="H32:H33"/>
    <mergeCell ref="D72:D73"/>
    <mergeCell ref="G76:G77"/>
    <mergeCell ref="H76:H77"/>
    <mergeCell ref="A78:A79"/>
    <mergeCell ref="B78:B79"/>
    <mergeCell ref="D78:D79"/>
    <mergeCell ref="H78:H79"/>
    <mergeCell ref="A76:A77"/>
    <mergeCell ref="B76:B77"/>
    <mergeCell ref="H74:H75"/>
    <mergeCell ref="F64:F65"/>
    <mergeCell ref="G48:G49"/>
    <mergeCell ref="H48:H49"/>
    <mergeCell ref="G40:G41"/>
    <mergeCell ref="H54:H55"/>
    <mergeCell ref="B46:B47"/>
    <mergeCell ref="F46:F47"/>
    <mergeCell ref="D74:D75"/>
    <mergeCell ref="F74:F75"/>
    <mergeCell ref="G74:G75"/>
    <mergeCell ref="F72:F73"/>
    <mergeCell ref="G72:G73"/>
    <mergeCell ref="F42:F43"/>
    <mergeCell ref="G78:G79"/>
    <mergeCell ref="D76:D77"/>
    <mergeCell ref="F76:F77"/>
    <mergeCell ref="H62:H63"/>
    <mergeCell ref="D64:D65"/>
    <mergeCell ref="D60:D61"/>
    <mergeCell ref="G46:G47"/>
    <mergeCell ref="H46:H47"/>
    <mergeCell ref="G52:G53"/>
    <mergeCell ref="A80:A81"/>
    <mergeCell ref="B80:B81"/>
    <mergeCell ref="D38:D39"/>
    <mergeCell ref="A44:A45"/>
    <mergeCell ref="B44:B45"/>
    <mergeCell ref="A38:A39"/>
    <mergeCell ref="A46:A47"/>
    <mergeCell ref="D46:D47"/>
    <mergeCell ref="D40:D41"/>
    <mergeCell ref="B72:B73"/>
    <mergeCell ref="F70:F71"/>
    <mergeCell ref="G70:G71"/>
    <mergeCell ref="H70:H71"/>
    <mergeCell ref="G44:G45"/>
    <mergeCell ref="H44:H45"/>
    <mergeCell ref="G60:G61"/>
    <mergeCell ref="H60:H61"/>
    <mergeCell ref="G64:G65"/>
    <mergeCell ref="H64:H65"/>
    <mergeCell ref="G80:G81"/>
    <mergeCell ref="H72:H73"/>
    <mergeCell ref="F40:F41"/>
    <mergeCell ref="F44:F45"/>
    <mergeCell ref="G62:G63"/>
    <mergeCell ref="G50:G51"/>
    <mergeCell ref="H50:H51"/>
    <mergeCell ref="B48:B49"/>
    <mergeCell ref="D48:D49"/>
    <mergeCell ref="D70:D71"/>
    <mergeCell ref="D44:D45"/>
    <mergeCell ref="D50:D51"/>
    <mergeCell ref="D58:D59"/>
    <mergeCell ref="D82:D83"/>
    <mergeCell ref="F82:F83"/>
    <mergeCell ref="G82:G83"/>
    <mergeCell ref="H82:H83"/>
    <mergeCell ref="D80:D81"/>
    <mergeCell ref="F80:F81"/>
    <mergeCell ref="F84:F85"/>
    <mergeCell ref="A84:A85"/>
    <mergeCell ref="B88:B89"/>
    <mergeCell ref="G88:G89"/>
    <mergeCell ref="B84:B85"/>
    <mergeCell ref="G84:G85"/>
    <mergeCell ref="D84:D85"/>
    <mergeCell ref="F78:F79"/>
    <mergeCell ref="B82:B83"/>
    <mergeCell ref="H38:H39"/>
    <mergeCell ref="D42:D43"/>
    <mergeCell ref="A69:H69"/>
    <mergeCell ref="A70:A71"/>
    <mergeCell ref="B70:B71"/>
    <mergeCell ref="G66:G67"/>
    <mergeCell ref="H66:H67"/>
    <mergeCell ref="F48:F49"/>
    <mergeCell ref="G42:G43"/>
    <mergeCell ref="G54:G55"/>
    <mergeCell ref="G56:G57"/>
    <mergeCell ref="H56:H57"/>
    <mergeCell ref="B38:B39"/>
    <mergeCell ref="F38:F39"/>
    <mergeCell ref="B42:B43"/>
    <mergeCell ref="H40:H41"/>
    <mergeCell ref="A82:A83"/>
    <mergeCell ref="D98:D99"/>
    <mergeCell ref="F98:F99"/>
    <mergeCell ref="G98:G99"/>
    <mergeCell ref="F100:F101"/>
    <mergeCell ref="G100:G101"/>
    <mergeCell ref="A103:H103"/>
    <mergeCell ref="A100:A101"/>
    <mergeCell ref="A98:A99"/>
    <mergeCell ref="B98:B99"/>
    <mergeCell ref="D96:D97"/>
    <mergeCell ref="A92:A93"/>
    <mergeCell ref="B92:B93"/>
    <mergeCell ref="D92:D93"/>
    <mergeCell ref="B94:B95"/>
    <mergeCell ref="B86:B87"/>
    <mergeCell ref="D86:D87"/>
    <mergeCell ref="F92:F93"/>
    <mergeCell ref="G92:G93"/>
    <mergeCell ref="F88:F89"/>
    <mergeCell ref="H88:H89"/>
    <mergeCell ref="A90:A91"/>
    <mergeCell ref="B90:B91"/>
    <mergeCell ref="D90:D91"/>
    <mergeCell ref="A96:A97"/>
    <mergeCell ref="B96:B97"/>
    <mergeCell ref="A94:A95"/>
    <mergeCell ref="H96:H97"/>
    <mergeCell ref="G96:G97"/>
    <mergeCell ref="F96:F97"/>
    <mergeCell ref="G94:G95"/>
    <mergeCell ref="F94:F95"/>
    <mergeCell ref="H84:H85"/>
    <mergeCell ref="D94:D95"/>
    <mergeCell ref="H108:H109"/>
    <mergeCell ref="G106:G107"/>
    <mergeCell ref="H106:H107"/>
    <mergeCell ref="F106:F107"/>
    <mergeCell ref="H92:H93"/>
    <mergeCell ref="H98:H99"/>
    <mergeCell ref="F104:F105"/>
    <mergeCell ref="G104:G105"/>
    <mergeCell ref="D106:D107"/>
    <mergeCell ref="A108:A109"/>
    <mergeCell ref="B108:B109"/>
    <mergeCell ref="A106:A107"/>
    <mergeCell ref="B106:B107"/>
    <mergeCell ref="H104:H105"/>
    <mergeCell ref="A104:A105"/>
    <mergeCell ref="B104:B105"/>
    <mergeCell ref="D104:D105"/>
    <mergeCell ref="F90:F91"/>
    <mergeCell ref="G90:G91"/>
    <mergeCell ref="D88:D89"/>
    <mergeCell ref="A88:A89"/>
    <mergeCell ref="A86:A87"/>
    <mergeCell ref="B100:B101"/>
    <mergeCell ref="D100:D101"/>
    <mergeCell ref="H100:H101"/>
    <mergeCell ref="H86:H87"/>
    <mergeCell ref="F86:F87"/>
    <mergeCell ref="G86:G87"/>
    <mergeCell ref="H94:H95"/>
    <mergeCell ref="H90:H91"/>
    <mergeCell ref="D110:D111"/>
    <mergeCell ref="F110:F111"/>
    <mergeCell ref="F108:F109"/>
    <mergeCell ref="D108:D109"/>
    <mergeCell ref="G108:G109"/>
    <mergeCell ref="G110:G111"/>
    <mergeCell ref="A110:A111"/>
    <mergeCell ref="B110:B111"/>
    <mergeCell ref="A128:A129"/>
    <mergeCell ref="B128:B129"/>
    <mergeCell ref="G126:G127"/>
    <mergeCell ref="H126:H127"/>
    <mergeCell ref="G128:G129"/>
    <mergeCell ref="B124:B125"/>
    <mergeCell ref="D124:D125"/>
    <mergeCell ref="F116:F117"/>
    <mergeCell ref="A120:A121"/>
    <mergeCell ref="B120:B121"/>
    <mergeCell ref="A116:A117"/>
    <mergeCell ref="F120:F121"/>
    <mergeCell ref="G120:G121"/>
    <mergeCell ref="G114:G115"/>
    <mergeCell ref="H114:H115"/>
    <mergeCell ref="D114:D115"/>
    <mergeCell ref="F114:F115"/>
    <mergeCell ref="G118:G119"/>
    <mergeCell ref="H110:H111"/>
    <mergeCell ref="G112:G113"/>
    <mergeCell ref="H112:H113"/>
    <mergeCell ref="G116:G117"/>
    <mergeCell ref="H116:H117"/>
    <mergeCell ref="A126:A127"/>
    <mergeCell ref="A112:A113"/>
    <mergeCell ref="B112:B113"/>
    <mergeCell ref="D112:D113"/>
    <mergeCell ref="F112:F113"/>
    <mergeCell ref="A114:A115"/>
    <mergeCell ref="B114:B115"/>
    <mergeCell ref="B116:B117"/>
    <mergeCell ref="D116:D117"/>
    <mergeCell ref="A140:A141"/>
    <mergeCell ref="B140:B141"/>
    <mergeCell ref="G134:G135"/>
    <mergeCell ref="A132:A133"/>
    <mergeCell ref="F132:F133"/>
    <mergeCell ref="G132:G133"/>
    <mergeCell ref="B132:B133"/>
    <mergeCell ref="H118:H119"/>
    <mergeCell ref="D120:D121"/>
    <mergeCell ref="F122:F123"/>
    <mergeCell ref="D128:D129"/>
    <mergeCell ref="F128:F129"/>
    <mergeCell ref="G124:G125"/>
    <mergeCell ref="F124:F125"/>
    <mergeCell ref="H120:H121"/>
    <mergeCell ref="A118:A119"/>
    <mergeCell ref="B118:B119"/>
    <mergeCell ref="D118:D119"/>
    <mergeCell ref="F118:F119"/>
    <mergeCell ref="A124:A125"/>
    <mergeCell ref="A122:A123"/>
    <mergeCell ref="B122:B123"/>
    <mergeCell ref="H128:H129"/>
    <mergeCell ref="D126:D127"/>
    <mergeCell ref="F126:F127"/>
    <mergeCell ref="G122:G123"/>
    <mergeCell ref="H122:H123"/>
    <mergeCell ref="D122:D123"/>
    <mergeCell ref="H124:H125"/>
    <mergeCell ref="H132:H133"/>
    <mergeCell ref="G142:G143"/>
    <mergeCell ref="H134:H135"/>
    <mergeCell ref="H138:H139"/>
    <mergeCell ref="G138:G139"/>
    <mergeCell ref="H142:H143"/>
    <mergeCell ref="G140:G141"/>
    <mergeCell ref="H140:H141"/>
    <mergeCell ref="G130:G131"/>
    <mergeCell ref="H130:H131"/>
    <mergeCell ref="A137:H137"/>
    <mergeCell ref="A138:A139"/>
    <mergeCell ref="B138:B139"/>
    <mergeCell ref="A134:A135"/>
    <mergeCell ref="B134:B135"/>
    <mergeCell ref="A130:A131"/>
    <mergeCell ref="B130:B131"/>
    <mergeCell ref="D130:D131"/>
    <mergeCell ref="A142:A143"/>
    <mergeCell ref="B142:B143"/>
    <mergeCell ref="D142:D143"/>
    <mergeCell ref="B126:B127"/>
    <mergeCell ref="F130:F131"/>
    <mergeCell ref="F142:F143"/>
    <mergeCell ref="D134:D135"/>
    <mergeCell ref="F134:F135"/>
    <mergeCell ref="D138:D139"/>
    <mergeCell ref="F138:F139"/>
    <mergeCell ref="D132:D133"/>
    <mergeCell ref="D140:D141"/>
    <mergeCell ref="F140:F141"/>
    <mergeCell ref="H158:H159"/>
    <mergeCell ref="B152:B153"/>
    <mergeCell ref="G148:G149"/>
    <mergeCell ref="H148:H149"/>
    <mergeCell ref="G156:G157"/>
    <mergeCell ref="H156:H157"/>
    <mergeCell ref="G158:G159"/>
    <mergeCell ref="G144:G145"/>
    <mergeCell ref="G152:G153"/>
    <mergeCell ref="H152:H153"/>
    <mergeCell ref="G146:G147"/>
    <mergeCell ref="H146:H147"/>
    <mergeCell ref="H144:H145"/>
    <mergeCell ref="G150:G151"/>
    <mergeCell ref="H150:H151"/>
    <mergeCell ref="F146:F147"/>
    <mergeCell ref="D152:D153"/>
    <mergeCell ref="F152:F153"/>
    <mergeCell ref="A158:A159"/>
    <mergeCell ref="B158:B159"/>
    <mergeCell ref="A156:A157"/>
    <mergeCell ref="B156:B157"/>
    <mergeCell ref="B154:B155"/>
    <mergeCell ref="D154:D155"/>
    <mergeCell ref="A152:A153"/>
    <mergeCell ref="F144:F145"/>
    <mergeCell ref="A150:A151"/>
    <mergeCell ref="B150:B151"/>
    <mergeCell ref="D150:D151"/>
    <mergeCell ref="F150:F151"/>
    <mergeCell ref="B148:B149"/>
    <mergeCell ref="D148:D149"/>
    <mergeCell ref="F148:F149"/>
    <mergeCell ref="A146:A147"/>
    <mergeCell ref="B146:B147"/>
    <mergeCell ref="A148:A149"/>
    <mergeCell ref="D144:D145"/>
    <mergeCell ref="D146:D147"/>
    <mergeCell ref="A144:A145"/>
    <mergeCell ref="B144:B145"/>
    <mergeCell ref="H164:H165"/>
    <mergeCell ref="G160:G161"/>
    <mergeCell ref="G166:G167"/>
    <mergeCell ref="A174:A175"/>
    <mergeCell ref="B174:B175"/>
    <mergeCell ref="D174:D175"/>
    <mergeCell ref="A168:A169"/>
    <mergeCell ref="B168:B169"/>
    <mergeCell ref="D168:D169"/>
    <mergeCell ref="A172:A173"/>
    <mergeCell ref="D172:D173"/>
    <mergeCell ref="G154:G155"/>
    <mergeCell ref="H154:H155"/>
    <mergeCell ref="A154:A155"/>
    <mergeCell ref="F154:F155"/>
    <mergeCell ref="H166:H167"/>
    <mergeCell ref="A164:A165"/>
    <mergeCell ref="A162:A163"/>
    <mergeCell ref="B162:B163"/>
    <mergeCell ref="D162:D163"/>
    <mergeCell ref="D156:D157"/>
    <mergeCell ref="F156:F157"/>
    <mergeCell ref="D158:D159"/>
    <mergeCell ref="F158:F159"/>
    <mergeCell ref="B164:B165"/>
    <mergeCell ref="A160:A161"/>
    <mergeCell ref="B160:B161"/>
    <mergeCell ref="D164:D165"/>
    <mergeCell ref="F166:F167"/>
    <mergeCell ref="F164:F165"/>
    <mergeCell ref="D166:D167"/>
    <mergeCell ref="F162:F163"/>
    <mergeCell ref="A166:A167"/>
    <mergeCell ref="B166:B167"/>
    <mergeCell ref="A180:A181"/>
    <mergeCell ref="B180:B181"/>
    <mergeCell ref="G180:G181"/>
    <mergeCell ref="H180:H181"/>
    <mergeCell ref="D180:D181"/>
    <mergeCell ref="D178:D179"/>
    <mergeCell ref="F178:F179"/>
    <mergeCell ref="G174:G175"/>
    <mergeCell ref="H174:H175"/>
    <mergeCell ref="G172:G173"/>
    <mergeCell ref="H172:H173"/>
    <mergeCell ref="F168:F169"/>
    <mergeCell ref="H178:H179"/>
    <mergeCell ref="F174:F175"/>
    <mergeCell ref="F172:F173"/>
    <mergeCell ref="B172:B173"/>
    <mergeCell ref="A176:A177"/>
    <mergeCell ref="B176:B177"/>
    <mergeCell ref="D176:D177"/>
    <mergeCell ref="F176:F177"/>
    <mergeCell ref="A178:A179"/>
    <mergeCell ref="B178:B179"/>
    <mergeCell ref="H160:H161"/>
    <mergeCell ref="G168:G169"/>
    <mergeCell ref="H168:H169"/>
    <mergeCell ref="A171:H171"/>
    <mergeCell ref="G164:G165"/>
    <mergeCell ref="G162:G163"/>
    <mergeCell ref="H162:H163"/>
    <mergeCell ref="D160:D161"/>
    <mergeCell ref="F160:F161"/>
    <mergeCell ref="A186:A187"/>
    <mergeCell ref="G196:G197"/>
    <mergeCell ref="G188:G189"/>
    <mergeCell ref="A188:A189"/>
    <mergeCell ref="B186:B187"/>
    <mergeCell ref="D186:D187"/>
    <mergeCell ref="B188:B189"/>
    <mergeCell ref="D188:D189"/>
    <mergeCell ref="F188:F189"/>
    <mergeCell ref="A192:A193"/>
    <mergeCell ref="F190:F191"/>
    <mergeCell ref="G182:G183"/>
    <mergeCell ref="H182:H183"/>
    <mergeCell ref="F186:F187"/>
    <mergeCell ref="G186:G187"/>
    <mergeCell ref="H186:H187"/>
    <mergeCell ref="G190:G191"/>
    <mergeCell ref="H190:H191"/>
    <mergeCell ref="H188:H189"/>
    <mergeCell ref="G176:G177"/>
    <mergeCell ref="F180:F181"/>
    <mergeCell ref="H176:H177"/>
    <mergeCell ref="G178:G179"/>
    <mergeCell ref="A184:A185"/>
    <mergeCell ref="B184:B185"/>
    <mergeCell ref="D184:D185"/>
    <mergeCell ref="H184:H185"/>
    <mergeCell ref="F184:F185"/>
    <mergeCell ref="A182:A183"/>
    <mergeCell ref="B182:B183"/>
    <mergeCell ref="D182:D183"/>
    <mergeCell ref="F182:F183"/>
    <mergeCell ref="G184:G185"/>
    <mergeCell ref="A198:A199"/>
    <mergeCell ref="B198:B199"/>
    <mergeCell ref="D198:D199"/>
    <mergeCell ref="A190:A191"/>
    <mergeCell ref="B190:B191"/>
    <mergeCell ref="B196:B197"/>
    <mergeCell ref="D196:D197"/>
    <mergeCell ref="D194:D195"/>
    <mergeCell ref="D190:D191"/>
    <mergeCell ref="A196:A197"/>
    <mergeCell ref="H198:H199"/>
    <mergeCell ref="F202:F203"/>
    <mergeCell ref="F206:F207"/>
    <mergeCell ref="H196:H197"/>
    <mergeCell ref="G194:G195"/>
    <mergeCell ref="H194:H195"/>
    <mergeCell ref="F192:F193"/>
    <mergeCell ref="F194:F195"/>
    <mergeCell ref="F196:F197"/>
    <mergeCell ref="G192:G193"/>
    <mergeCell ref="H192:H193"/>
    <mergeCell ref="B192:B193"/>
    <mergeCell ref="D192:D193"/>
    <mergeCell ref="A194:A195"/>
    <mergeCell ref="B194:B195"/>
    <mergeCell ref="A214:A215"/>
    <mergeCell ref="B214:B215"/>
    <mergeCell ref="D214:D215"/>
    <mergeCell ref="A210:A211"/>
    <mergeCell ref="B210:B211"/>
    <mergeCell ref="D202:D203"/>
    <mergeCell ref="H206:H207"/>
    <mergeCell ref="A202:A203"/>
    <mergeCell ref="B202:B203"/>
    <mergeCell ref="H210:H211"/>
    <mergeCell ref="A208:A209"/>
    <mergeCell ref="B208:B209"/>
    <mergeCell ref="D208:D209"/>
    <mergeCell ref="F208:F209"/>
    <mergeCell ref="G208:G209"/>
    <mergeCell ref="H208:H209"/>
    <mergeCell ref="H202:H203"/>
    <mergeCell ref="A200:A201"/>
    <mergeCell ref="D206:D207"/>
    <mergeCell ref="A220:A221"/>
    <mergeCell ref="B220:B221"/>
    <mergeCell ref="D220:D221"/>
    <mergeCell ref="F220:F221"/>
    <mergeCell ref="D210:D211"/>
    <mergeCell ref="F210:F211"/>
    <mergeCell ref="A212:A213"/>
    <mergeCell ref="B212:B213"/>
    <mergeCell ref="A218:A219"/>
    <mergeCell ref="G206:G207"/>
    <mergeCell ref="A222:A223"/>
    <mergeCell ref="B222:B223"/>
    <mergeCell ref="G210:G211"/>
    <mergeCell ref="A206:A207"/>
    <mergeCell ref="B206:B207"/>
    <mergeCell ref="D216:D217"/>
    <mergeCell ref="F216:F217"/>
    <mergeCell ref="G200:G201"/>
    <mergeCell ref="H200:H201"/>
    <mergeCell ref="A205:H205"/>
    <mergeCell ref="B200:B201"/>
    <mergeCell ref="D200:D201"/>
    <mergeCell ref="F200:F201"/>
    <mergeCell ref="F198:F199"/>
    <mergeCell ref="G198:G199"/>
    <mergeCell ref="G202:G203"/>
    <mergeCell ref="H230:H231"/>
    <mergeCell ref="A228:A229"/>
    <mergeCell ref="B228:B229"/>
    <mergeCell ref="A230:A231"/>
    <mergeCell ref="B230:B231"/>
    <mergeCell ref="D228:D229"/>
    <mergeCell ref="F228:F229"/>
    <mergeCell ref="G218:G219"/>
    <mergeCell ref="H218:H219"/>
    <mergeCell ref="D222:D223"/>
    <mergeCell ref="F222:F223"/>
    <mergeCell ref="G220:G221"/>
    <mergeCell ref="H220:H221"/>
    <mergeCell ref="G222:G223"/>
    <mergeCell ref="H222:H223"/>
    <mergeCell ref="H212:H213"/>
    <mergeCell ref="G214:G215"/>
    <mergeCell ref="H214:H215"/>
    <mergeCell ref="G212:G213"/>
    <mergeCell ref="D212:D213"/>
    <mergeCell ref="F212:F213"/>
    <mergeCell ref="F214:F215"/>
    <mergeCell ref="H216:H217"/>
    <mergeCell ref="G224:G225"/>
    <mergeCell ref="H224:H225"/>
    <mergeCell ref="A242:A243"/>
    <mergeCell ref="B242:B243"/>
    <mergeCell ref="G236:G237"/>
    <mergeCell ref="H236:H237"/>
    <mergeCell ref="H240:H241"/>
    <mergeCell ref="G240:G241"/>
    <mergeCell ref="D226:D227"/>
    <mergeCell ref="B218:B219"/>
    <mergeCell ref="D230:D231"/>
    <mergeCell ref="F230:F231"/>
    <mergeCell ref="G230:G231"/>
    <mergeCell ref="A216:A217"/>
    <mergeCell ref="B216:B217"/>
    <mergeCell ref="G216:G217"/>
    <mergeCell ref="F226:F227"/>
    <mergeCell ref="D218:D219"/>
    <mergeCell ref="F218:F219"/>
    <mergeCell ref="A226:A227"/>
    <mergeCell ref="B226:B227"/>
    <mergeCell ref="G228:G229"/>
    <mergeCell ref="H228:H229"/>
    <mergeCell ref="A224:A225"/>
    <mergeCell ref="B224:B225"/>
    <mergeCell ref="D224:D225"/>
    <mergeCell ref="F224:F225"/>
    <mergeCell ref="G226:G227"/>
    <mergeCell ref="H226:H227"/>
    <mergeCell ref="A234:A235"/>
    <mergeCell ref="F242:F243"/>
    <mergeCell ref="G242:G243"/>
    <mergeCell ref="H242:H243"/>
    <mergeCell ref="F240:F241"/>
    <mergeCell ref="H234:H235"/>
    <mergeCell ref="G244:G245"/>
    <mergeCell ref="G232:G233"/>
    <mergeCell ref="H232:H233"/>
    <mergeCell ref="A239:H239"/>
    <mergeCell ref="A240:A241"/>
    <mergeCell ref="B240:B241"/>
    <mergeCell ref="A236:A237"/>
    <mergeCell ref="B236:B237"/>
    <mergeCell ref="B246:B247"/>
    <mergeCell ref="F234:F235"/>
    <mergeCell ref="G234:G235"/>
    <mergeCell ref="A244:A245"/>
    <mergeCell ref="B244:B245"/>
    <mergeCell ref="D244:D245"/>
    <mergeCell ref="F244:F245"/>
    <mergeCell ref="D236:D237"/>
    <mergeCell ref="F236:F237"/>
    <mergeCell ref="D240:D241"/>
    <mergeCell ref="A232:A233"/>
    <mergeCell ref="B232:B233"/>
    <mergeCell ref="D232:D233"/>
    <mergeCell ref="F232:F233"/>
    <mergeCell ref="A250:A251"/>
    <mergeCell ref="D246:D247"/>
    <mergeCell ref="D248:D249"/>
    <mergeCell ref="A246:A247"/>
    <mergeCell ref="A248:A249"/>
    <mergeCell ref="B248:B249"/>
    <mergeCell ref="B234:B235"/>
    <mergeCell ref="D234:D235"/>
    <mergeCell ref="H260:H261"/>
    <mergeCell ref="B254:B255"/>
    <mergeCell ref="G250:G251"/>
    <mergeCell ref="H250:H251"/>
    <mergeCell ref="G246:G247"/>
    <mergeCell ref="G254:G255"/>
    <mergeCell ref="H254:H255"/>
    <mergeCell ref="G248:G249"/>
    <mergeCell ref="H248:H249"/>
    <mergeCell ref="H246:H247"/>
    <mergeCell ref="F248:F249"/>
    <mergeCell ref="D254:D255"/>
    <mergeCell ref="F254:F255"/>
    <mergeCell ref="F250:F251"/>
    <mergeCell ref="G252:G253"/>
    <mergeCell ref="H252:H253"/>
    <mergeCell ref="B250:B251"/>
    <mergeCell ref="D250:D251"/>
    <mergeCell ref="A260:A261"/>
    <mergeCell ref="B260:B261"/>
    <mergeCell ref="A258:A259"/>
    <mergeCell ref="B258:B259"/>
    <mergeCell ref="H244:H245"/>
    <mergeCell ref="D242:D243"/>
    <mergeCell ref="D270:D271"/>
    <mergeCell ref="A274:A275"/>
    <mergeCell ref="B256:B257"/>
    <mergeCell ref="D256:D257"/>
    <mergeCell ref="A254:A255"/>
    <mergeCell ref="F246:F247"/>
    <mergeCell ref="A252:A253"/>
    <mergeCell ref="B252:B253"/>
    <mergeCell ref="D252:D253"/>
    <mergeCell ref="F252:F253"/>
    <mergeCell ref="B264:B265"/>
    <mergeCell ref="D264:D265"/>
    <mergeCell ref="H266:H267"/>
    <mergeCell ref="G262:G263"/>
    <mergeCell ref="G268:G269"/>
    <mergeCell ref="A276:A277"/>
    <mergeCell ref="B276:B277"/>
    <mergeCell ref="D276:D277"/>
    <mergeCell ref="A270:A271"/>
    <mergeCell ref="B270:B271"/>
    <mergeCell ref="B266:B267"/>
    <mergeCell ref="D268:D269"/>
    <mergeCell ref="D274:D275"/>
    <mergeCell ref="G256:G257"/>
    <mergeCell ref="H256:H257"/>
    <mergeCell ref="A256:A257"/>
    <mergeCell ref="F256:F257"/>
    <mergeCell ref="H268:H269"/>
    <mergeCell ref="A266:A267"/>
    <mergeCell ref="A264:A265"/>
    <mergeCell ref="H276:H277"/>
    <mergeCell ref="G274:G275"/>
    <mergeCell ref="F264:F265"/>
    <mergeCell ref="A268:A269"/>
    <mergeCell ref="B268:B269"/>
    <mergeCell ref="D258:D259"/>
    <mergeCell ref="F258:F259"/>
    <mergeCell ref="D260:D261"/>
    <mergeCell ref="F260:F261"/>
    <mergeCell ref="D266:D267"/>
    <mergeCell ref="G282:G283"/>
    <mergeCell ref="H282:H283"/>
    <mergeCell ref="D282:D283"/>
    <mergeCell ref="D280:D281"/>
    <mergeCell ref="F280:F281"/>
    <mergeCell ref="G258:G259"/>
    <mergeCell ref="H258:H259"/>
    <mergeCell ref="G260:G261"/>
    <mergeCell ref="F276:F277"/>
    <mergeCell ref="F274:F275"/>
    <mergeCell ref="A262:A263"/>
    <mergeCell ref="B262:B263"/>
    <mergeCell ref="D262:D263"/>
    <mergeCell ref="F262:F263"/>
    <mergeCell ref="H280:H281"/>
    <mergeCell ref="A280:A281"/>
    <mergeCell ref="B280:B281"/>
    <mergeCell ref="F268:F269"/>
    <mergeCell ref="F266:F267"/>
    <mergeCell ref="G276:G277"/>
    <mergeCell ref="H274:H275"/>
    <mergeCell ref="F270:F271"/>
    <mergeCell ref="B274:B275"/>
    <mergeCell ref="H262:H263"/>
    <mergeCell ref="G270:G271"/>
    <mergeCell ref="H270:H271"/>
    <mergeCell ref="A273:H273"/>
    <mergeCell ref="G266:G267"/>
    <mergeCell ref="G264:G265"/>
    <mergeCell ref="H264:H265"/>
    <mergeCell ref="A288:A289"/>
    <mergeCell ref="G298:G299"/>
    <mergeCell ref="G290:G291"/>
    <mergeCell ref="A290:A291"/>
    <mergeCell ref="B288:B289"/>
    <mergeCell ref="D288:D289"/>
    <mergeCell ref="B290:B291"/>
    <mergeCell ref="D290:D291"/>
    <mergeCell ref="F290:F291"/>
    <mergeCell ref="A294:A295"/>
    <mergeCell ref="F292:F293"/>
    <mergeCell ref="G284:G285"/>
    <mergeCell ref="H284:H285"/>
    <mergeCell ref="F288:F289"/>
    <mergeCell ref="G288:G289"/>
    <mergeCell ref="H288:H289"/>
    <mergeCell ref="G292:G293"/>
    <mergeCell ref="H292:H293"/>
    <mergeCell ref="H290:H291"/>
    <mergeCell ref="G278:G279"/>
    <mergeCell ref="F282:F283"/>
    <mergeCell ref="H278:H279"/>
    <mergeCell ref="G280:G281"/>
    <mergeCell ref="A278:A279"/>
    <mergeCell ref="B278:B279"/>
    <mergeCell ref="D278:D279"/>
    <mergeCell ref="F278:F279"/>
    <mergeCell ref="A282:A283"/>
    <mergeCell ref="B282:B283"/>
    <mergeCell ref="A286:A287"/>
    <mergeCell ref="B286:B287"/>
    <mergeCell ref="D286:D287"/>
    <mergeCell ref="H286:H287"/>
    <mergeCell ref="F286:F287"/>
    <mergeCell ref="A284:A285"/>
    <mergeCell ref="B284:B285"/>
    <mergeCell ref="D284:D285"/>
    <mergeCell ref="F284:F285"/>
    <mergeCell ref="G286:G287"/>
    <mergeCell ref="A300:A301"/>
    <mergeCell ref="B300:B301"/>
    <mergeCell ref="D300:D301"/>
    <mergeCell ref="A292:A293"/>
    <mergeCell ref="B292:B293"/>
    <mergeCell ref="B298:B299"/>
    <mergeCell ref="D298:D299"/>
    <mergeCell ref="D296:D297"/>
    <mergeCell ref="D292:D293"/>
    <mergeCell ref="A298:A299"/>
    <mergeCell ref="H300:H301"/>
    <mergeCell ref="F304:F305"/>
    <mergeCell ref="F308:F309"/>
    <mergeCell ref="H298:H299"/>
    <mergeCell ref="G296:G297"/>
    <mergeCell ref="H296:H297"/>
    <mergeCell ref="F294:F295"/>
    <mergeCell ref="F296:F297"/>
    <mergeCell ref="F298:F299"/>
    <mergeCell ref="G294:G295"/>
    <mergeCell ref="H294:H295"/>
    <mergeCell ref="B294:B295"/>
    <mergeCell ref="D294:D295"/>
    <mergeCell ref="A296:A297"/>
    <mergeCell ref="B296:B297"/>
    <mergeCell ref="A316:A317"/>
    <mergeCell ref="B316:B317"/>
    <mergeCell ref="D316:D317"/>
    <mergeCell ref="A312:A313"/>
    <mergeCell ref="B312:B313"/>
    <mergeCell ref="D304:D305"/>
    <mergeCell ref="H308:H309"/>
    <mergeCell ref="A304:A305"/>
    <mergeCell ref="B304:B305"/>
    <mergeCell ref="H312:H313"/>
    <mergeCell ref="A310:A311"/>
    <mergeCell ref="B310:B311"/>
    <mergeCell ref="D310:D311"/>
    <mergeCell ref="F310:F311"/>
    <mergeCell ref="G310:G311"/>
    <mergeCell ref="H310:H311"/>
    <mergeCell ref="H304:H305"/>
    <mergeCell ref="A302:A303"/>
    <mergeCell ref="D308:D309"/>
    <mergeCell ref="A322:A323"/>
    <mergeCell ref="B322:B323"/>
    <mergeCell ref="D322:D323"/>
    <mergeCell ref="F322:F323"/>
    <mergeCell ref="D312:D313"/>
    <mergeCell ref="F312:F313"/>
    <mergeCell ref="A314:A315"/>
    <mergeCell ref="B314:B315"/>
    <mergeCell ref="A320:A321"/>
    <mergeCell ref="G308:G309"/>
    <mergeCell ref="A324:A325"/>
    <mergeCell ref="B324:B325"/>
    <mergeCell ref="G312:G313"/>
    <mergeCell ref="A308:A309"/>
    <mergeCell ref="B308:B309"/>
    <mergeCell ref="D318:D319"/>
    <mergeCell ref="F318:F319"/>
    <mergeCell ref="G302:G303"/>
    <mergeCell ref="H302:H303"/>
    <mergeCell ref="A307:H307"/>
    <mergeCell ref="B302:B303"/>
    <mergeCell ref="D302:D303"/>
    <mergeCell ref="F302:F303"/>
    <mergeCell ref="F300:F301"/>
    <mergeCell ref="G300:G301"/>
    <mergeCell ref="G304:G305"/>
    <mergeCell ref="H332:H333"/>
    <mergeCell ref="A330:A331"/>
    <mergeCell ref="B330:B331"/>
    <mergeCell ref="A332:A333"/>
    <mergeCell ref="B332:B333"/>
    <mergeCell ref="D330:D331"/>
    <mergeCell ref="F330:F331"/>
    <mergeCell ref="G320:G321"/>
    <mergeCell ref="H320:H321"/>
    <mergeCell ref="D324:D325"/>
    <mergeCell ref="F324:F325"/>
    <mergeCell ref="G322:G323"/>
    <mergeCell ref="H322:H323"/>
    <mergeCell ref="G324:G325"/>
    <mergeCell ref="H324:H325"/>
    <mergeCell ref="H314:H315"/>
    <mergeCell ref="G316:G317"/>
    <mergeCell ref="H316:H317"/>
    <mergeCell ref="G314:G315"/>
    <mergeCell ref="D314:D315"/>
    <mergeCell ref="F314:F315"/>
    <mergeCell ref="F316:F317"/>
    <mergeCell ref="H318:H319"/>
    <mergeCell ref="G326:G327"/>
    <mergeCell ref="H326:H327"/>
    <mergeCell ref="A344:A345"/>
    <mergeCell ref="B344:B345"/>
    <mergeCell ref="G338:G339"/>
    <mergeCell ref="H338:H339"/>
    <mergeCell ref="H342:H343"/>
    <mergeCell ref="G342:G343"/>
    <mergeCell ref="D328:D329"/>
    <mergeCell ref="B320:B321"/>
    <mergeCell ref="D332:D333"/>
    <mergeCell ref="F332:F333"/>
    <mergeCell ref="G332:G333"/>
    <mergeCell ref="A318:A319"/>
    <mergeCell ref="B318:B319"/>
    <mergeCell ref="G318:G319"/>
    <mergeCell ref="F328:F329"/>
    <mergeCell ref="D320:D321"/>
    <mergeCell ref="F320:F321"/>
    <mergeCell ref="A328:A329"/>
    <mergeCell ref="B328:B329"/>
    <mergeCell ref="G330:G331"/>
    <mergeCell ref="H330:H331"/>
    <mergeCell ref="A326:A327"/>
    <mergeCell ref="B326:B327"/>
    <mergeCell ref="D326:D327"/>
    <mergeCell ref="F326:F327"/>
    <mergeCell ref="G328:G329"/>
    <mergeCell ref="H328:H329"/>
    <mergeCell ref="A336:A337"/>
    <mergeCell ref="F344:F345"/>
    <mergeCell ref="G344:G345"/>
    <mergeCell ref="H344:H345"/>
    <mergeCell ref="F342:F343"/>
    <mergeCell ref="H336:H337"/>
    <mergeCell ref="G346:G347"/>
    <mergeCell ref="G334:G335"/>
    <mergeCell ref="H334:H335"/>
    <mergeCell ref="A341:H341"/>
    <mergeCell ref="A342:A343"/>
    <mergeCell ref="B342:B343"/>
    <mergeCell ref="A338:A339"/>
    <mergeCell ref="B338:B339"/>
    <mergeCell ref="B348:B349"/>
    <mergeCell ref="F336:F337"/>
    <mergeCell ref="G336:G337"/>
    <mergeCell ref="A346:A347"/>
    <mergeCell ref="B346:B347"/>
    <mergeCell ref="D346:D347"/>
    <mergeCell ref="F346:F347"/>
    <mergeCell ref="D338:D339"/>
    <mergeCell ref="F338:F339"/>
    <mergeCell ref="D342:D343"/>
    <mergeCell ref="A334:A335"/>
    <mergeCell ref="B334:B335"/>
    <mergeCell ref="D334:D335"/>
    <mergeCell ref="F334:F335"/>
    <mergeCell ref="A352:A353"/>
    <mergeCell ref="D348:D349"/>
    <mergeCell ref="D350:D351"/>
    <mergeCell ref="A348:A349"/>
    <mergeCell ref="A350:A351"/>
    <mergeCell ref="B350:B351"/>
    <mergeCell ref="B336:B337"/>
    <mergeCell ref="D336:D337"/>
    <mergeCell ref="H362:H363"/>
    <mergeCell ref="B356:B357"/>
    <mergeCell ref="G352:G353"/>
    <mergeCell ref="H352:H353"/>
    <mergeCell ref="G348:G349"/>
    <mergeCell ref="G356:G357"/>
    <mergeCell ref="H356:H357"/>
    <mergeCell ref="G350:G351"/>
    <mergeCell ref="H350:H351"/>
    <mergeCell ref="H348:H349"/>
    <mergeCell ref="F350:F351"/>
    <mergeCell ref="D356:D357"/>
    <mergeCell ref="F356:F357"/>
    <mergeCell ref="F352:F353"/>
    <mergeCell ref="G354:G355"/>
    <mergeCell ref="H354:H355"/>
    <mergeCell ref="B352:B353"/>
    <mergeCell ref="D352:D353"/>
    <mergeCell ref="A362:A363"/>
    <mergeCell ref="B362:B363"/>
    <mergeCell ref="A360:A361"/>
    <mergeCell ref="B360:B361"/>
    <mergeCell ref="H346:H347"/>
    <mergeCell ref="D344:D345"/>
    <mergeCell ref="D372:D373"/>
    <mergeCell ref="A376:A377"/>
    <mergeCell ref="B358:B359"/>
    <mergeCell ref="D358:D359"/>
    <mergeCell ref="A356:A357"/>
    <mergeCell ref="F348:F349"/>
    <mergeCell ref="A354:A355"/>
    <mergeCell ref="B354:B355"/>
    <mergeCell ref="D354:D355"/>
    <mergeCell ref="F354:F355"/>
    <mergeCell ref="B366:B367"/>
    <mergeCell ref="D366:D367"/>
    <mergeCell ref="H368:H369"/>
    <mergeCell ref="G364:G365"/>
    <mergeCell ref="G370:G371"/>
    <mergeCell ref="A378:A379"/>
    <mergeCell ref="B378:B379"/>
    <mergeCell ref="D378:D379"/>
    <mergeCell ref="A372:A373"/>
    <mergeCell ref="B372:B373"/>
    <mergeCell ref="B368:B369"/>
    <mergeCell ref="D370:D371"/>
    <mergeCell ref="D376:D377"/>
    <mergeCell ref="G358:G359"/>
    <mergeCell ref="H358:H359"/>
    <mergeCell ref="A358:A359"/>
    <mergeCell ref="F358:F359"/>
    <mergeCell ref="H370:H371"/>
    <mergeCell ref="A368:A369"/>
    <mergeCell ref="A366:A367"/>
    <mergeCell ref="H378:H379"/>
    <mergeCell ref="G376:G377"/>
    <mergeCell ref="F366:F367"/>
    <mergeCell ref="A370:A371"/>
    <mergeCell ref="B370:B371"/>
    <mergeCell ref="D360:D361"/>
    <mergeCell ref="F360:F361"/>
    <mergeCell ref="D362:D363"/>
    <mergeCell ref="F362:F363"/>
    <mergeCell ref="D368:D369"/>
    <mergeCell ref="G384:G385"/>
    <mergeCell ref="H384:H385"/>
    <mergeCell ref="D384:D385"/>
    <mergeCell ref="D382:D383"/>
    <mergeCell ref="F382:F383"/>
    <mergeCell ref="G360:G361"/>
    <mergeCell ref="H360:H361"/>
    <mergeCell ref="G362:G363"/>
    <mergeCell ref="F378:F379"/>
    <mergeCell ref="F376:F377"/>
    <mergeCell ref="A364:A365"/>
    <mergeCell ref="B364:B365"/>
    <mergeCell ref="D364:D365"/>
    <mergeCell ref="F364:F365"/>
    <mergeCell ref="H382:H383"/>
    <mergeCell ref="A382:A383"/>
    <mergeCell ref="B382:B383"/>
    <mergeCell ref="F370:F371"/>
    <mergeCell ref="F368:F369"/>
    <mergeCell ref="G378:G379"/>
    <mergeCell ref="H376:H377"/>
    <mergeCell ref="F372:F373"/>
    <mergeCell ref="B376:B377"/>
    <mergeCell ref="H364:H365"/>
    <mergeCell ref="G372:G373"/>
    <mergeCell ref="H372:H373"/>
    <mergeCell ref="A375:H375"/>
    <mergeCell ref="G368:G369"/>
    <mergeCell ref="G366:G367"/>
    <mergeCell ref="H366:H367"/>
    <mergeCell ref="A390:A391"/>
    <mergeCell ref="G400:G401"/>
    <mergeCell ref="G392:G393"/>
    <mergeCell ref="A392:A393"/>
    <mergeCell ref="B390:B391"/>
    <mergeCell ref="D390:D391"/>
    <mergeCell ref="B392:B393"/>
    <mergeCell ref="D392:D393"/>
    <mergeCell ref="F392:F393"/>
    <mergeCell ref="A396:A397"/>
    <mergeCell ref="F394:F395"/>
    <mergeCell ref="G386:G387"/>
    <mergeCell ref="H386:H387"/>
    <mergeCell ref="F390:F391"/>
    <mergeCell ref="G390:G391"/>
    <mergeCell ref="H390:H391"/>
    <mergeCell ref="G394:G395"/>
    <mergeCell ref="H394:H395"/>
    <mergeCell ref="H392:H393"/>
    <mergeCell ref="G380:G381"/>
    <mergeCell ref="F384:F385"/>
    <mergeCell ref="H380:H381"/>
    <mergeCell ref="G382:G383"/>
    <mergeCell ref="A380:A381"/>
    <mergeCell ref="B380:B381"/>
    <mergeCell ref="D380:D381"/>
    <mergeCell ref="F380:F381"/>
    <mergeCell ref="A384:A385"/>
    <mergeCell ref="B384:B385"/>
    <mergeCell ref="A388:A389"/>
    <mergeCell ref="B388:B389"/>
    <mergeCell ref="D388:D389"/>
    <mergeCell ref="H388:H389"/>
    <mergeCell ref="F388:F389"/>
    <mergeCell ref="A386:A387"/>
    <mergeCell ref="B386:B387"/>
    <mergeCell ref="D386:D387"/>
    <mergeCell ref="F386:F387"/>
    <mergeCell ref="G388:G389"/>
    <mergeCell ref="A402:A403"/>
    <mergeCell ref="B402:B403"/>
    <mergeCell ref="D402:D403"/>
    <mergeCell ref="A394:A395"/>
    <mergeCell ref="B394:B395"/>
    <mergeCell ref="B400:B401"/>
    <mergeCell ref="D400:D401"/>
    <mergeCell ref="D398:D399"/>
    <mergeCell ref="D394:D395"/>
    <mergeCell ref="A400:A401"/>
    <mergeCell ref="H402:H403"/>
    <mergeCell ref="F406:F407"/>
    <mergeCell ref="F410:F411"/>
    <mergeCell ref="H400:H401"/>
    <mergeCell ref="G398:G399"/>
    <mergeCell ref="H398:H399"/>
    <mergeCell ref="F396:F397"/>
    <mergeCell ref="F398:F399"/>
    <mergeCell ref="F400:F401"/>
    <mergeCell ref="G396:G397"/>
    <mergeCell ref="H396:H397"/>
    <mergeCell ref="B396:B397"/>
    <mergeCell ref="D396:D397"/>
    <mergeCell ref="A398:A399"/>
    <mergeCell ref="B398:B399"/>
    <mergeCell ref="A418:A419"/>
    <mergeCell ref="B418:B419"/>
    <mergeCell ref="D418:D419"/>
    <mergeCell ref="A414:A415"/>
    <mergeCell ref="B414:B415"/>
    <mergeCell ref="D406:D407"/>
    <mergeCell ref="H410:H411"/>
    <mergeCell ref="A406:A407"/>
    <mergeCell ref="B406:B407"/>
    <mergeCell ref="H414:H415"/>
    <mergeCell ref="A412:A413"/>
    <mergeCell ref="B412:B413"/>
    <mergeCell ref="D412:D413"/>
    <mergeCell ref="F412:F413"/>
    <mergeCell ref="G412:G413"/>
    <mergeCell ref="H412:H413"/>
    <mergeCell ref="H406:H407"/>
    <mergeCell ref="A404:A405"/>
    <mergeCell ref="D410:D411"/>
    <mergeCell ref="A424:A425"/>
    <mergeCell ref="B424:B425"/>
    <mergeCell ref="D424:D425"/>
    <mergeCell ref="F424:F425"/>
    <mergeCell ref="D414:D415"/>
    <mergeCell ref="F414:F415"/>
    <mergeCell ref="A416:A417"/>
    <mergeCell ref="B416:B417"/>
    <mergeCell ref="A422:A423"/>
    <mergeCell ref="G410:G411"/>
    <mergeCell ref="A426:A427"/>
    <mergeCell ref="B426:B427"/>
    <mergeCell ref="G414:G415"/>
    <mergeCell ref="A410:A411"/>
    <mergeCell ref="B410:B411"/>
    <mergeCell ref="D420:D421"/>
    <mergeCell ref="F420:F421"/>
    <mergeCell ref="G404:G405"/>
    <mergeCell ref="H404:H405"/>
    <mergeCell ref="A409:H409"/>
    <mergeCell ref="B404:B405"/>
    <mergeCell ref="D404:D405"/>
    <mergeCell ref="F404:F405"/>
    <mergeCell ref="F402:F403"/>
    <mergeCell ref="G402:G403"/>
    <mergeCell ref="G406:G407"/>
    <mergeCell ref="H434:H435"/>
    <mergeCell ref="A432:A433"/>
    <mergeCell ref="B432:B433"/>
    <mergeCell ref="A434:A435"/>
    <mergeCell ref="B434:B435"/>
    <mergeCell ref="D432:D433"/>
    <mergeCell ref="F432:F433"/>
    <mergeCell ref="G422:G423"/>
    <mergeCell ref="H422:H423"/>
    <mergeCell ref="D426:D427"/>
    <mergeCell ref="F426:F427"/>
    <mergeCell ref="G424:G425"/>
    <mergeCell ref="H424:H425"/>
    <mergeCell ref="G426:G427"/>
    <mergeCell ref="H426:H427"/>
    <mergeCell ref="H416:H417"/>
    <mergeCell ref="G418:G419"/>
    <mergeCell ref="H418:H419"/>
    <mergeCell ref="G416:G417"/>
    <mergeCell ref="D416:D417"/>
    <mergeCell ref="F416:F417"/>
    <mergeCell ref="F418:F419"/>
    <mergeCell ref="H420:H421"/>
    <mergeCell ref="G428:G429"/>
    <mergeCell ref="H428:H429"/>
    <mergeCell ref="A446:A447"/>
    <mergeCell ref="B446:B447"/>
    <mergeCell ref="G440:G441"/>
    <mergeCell ref="H440:H441"/>
    <mergeCell ref="H444:H445"/>
    <mergeCell ref="G444:G445"/>
    <mergeCell ref="D430:D431"/>
    <mergeCell ref="B422:B423"/>
    <mergeCell ref="D434:D435"/>
    <mergeCell ref="F434:F435"/>
    <mergeCell ref="G434:G435"/>
    <mergeCell ref="A420:A421"/>
    <mergeCell ref="B420:B421"/>
    <mergeCell ref="G420:G421"/>
    <mergeCell ref="F430:F431"/>
    <mergeCell ref="D422:D423"/>
    <mergeCell ref="F422:F423"/>
    <mergeCell ref="A430:A431"/>
    <mergeCell ref="B430:B431"/>
    <mergeCell ref="G432:G433"/>
    <mergeCell ref="H432:H433"/>
    <mergeCell ref="A428:A429"/>
    <mergeCell ref="B428:B429"/>
    <mergeCell ref="D428:D429"/>
    <mergeCell ref="F428:F429"/>
    <mergeCell ref="G430:G431"/>
    <mergeCell ref="H430:H431"/>
    <mergeCell ref="A438:A439"/>
    <mergeCell ref="F446:F447"/>
    <mergeCell ref="G446:G447"/>
    <mergeCell ref="H446:H447"/>
    <mergeCell ref="F444:F445"/>
    <mergeCell ref="H438:H439"/>
    <mergeCell ref="G448:G449"/>
    <mergeCell ref="G436:G437"/>
    <mergeCell ref="H436:H437"/>
    <mergeCell ref="A443:H443"/>
    <mergeCell ref="A444:A445"/>
    <mergeCell ref="B444:B445"/>
    <mergeCell ref="A440:A441"/>
    <mergeCell ref="B440:B441"/>
    <mergeCell ref="B450:B451"/>
    <mergeCell ref="F438:F439"/>
    <mergeCell ref="G438:G439"/>
    <mergeCell ref="A448:A449"/>
    <mergeCell ref="B448:B449"/>
    <mergeCell ref="D448:D449"/>
    <mergeCell ref="F448:F449"/>
    <mergeCell ref="D440:D441"/>
    <mergeCell ref="F440:F441"/>
    <mergeCell ref="D444:D445"/>
    <mergeCell ref="A436:A437"/>
    <mergeCell ref="B436:B437"/>
    <mergeCell ref="D436:D437"/>
    <mergeCell ref="F436:F437"/>
    <mergeCell ref="A454:A455"/>
    <mergeCell ref="D450:D451"/>
    <mergeCell ref="D452:D453"/>
    <mergeCell ref="A450:A451"/>
    <mergeCell ref="A452:A453"/>
    <mergeCell ref="B452:B453"/>
    <mergeCell ref="B438:B439"/>
    <mergeCell ref="D438:D439"/>
    <mergeCell ref="H464:H465"/>
    <mergeCell ref="B458:B459"/>
    <mergeCell ref="G454:G455"/>
    <mergeCell ref="H454:H455"/>
    <mergeCell ref="G450:G451"/>
    <mergeCell ref="G458:G459"/>
    <mergeCell ref="H458:H459"/>
    <mergeCell ref="G452:G453"/>
    <mergeCell ref="H452:H453"/>
    <mergeCell ref="H450:H451"/>
    <mergeCell ref="F452:F453"/>
    <mergeCell ref="D458:D459"/>
    <mergeCell ref="F458:F459"/>
    <mergeCell ref="F454:F455"/>
    <mergeCell ref="G456:G457"/>
    <mergeCell ref="H456:H457"/>
    <mergeCell ref="B454:B455"/>
    <mergeCell ref="D454:D455"/>
    <mergeCell ref="A464:A465"/>
    <mergeCell ref="B464:B465"/>
    <mergeCell ref="A462:A463"/>
    <mergeCell ref="B462:B463"/>
    <mergeCell ref="H448:H449"/>
    <mergeCell ref="D446:D447"/>
    <mergeCell ref="D474:D475"/>
    <mergeCell ref="A478:A479"/>
    <mergeCell ref="B460:B461"/>
    <mergeCell ref="D460:D461"/>
    <mergeCell ref="A458:A459"/>
    <mergeCell ref="F450:F451"/>
    <mergeCell ref="A456:A457"/>
    <mergeCell ref="B456:B457"/>
    <mergeCell ref="D456:D457"/>
    <mergeCell ref="F456:F457"/>
    <mergeCell ref="B468:B469"/>
    <mergeCell ref="D468:D469"/>
    <mergeCell ref="H470:H471"/>
    <mergeCell ref="G466:G467"/>
    <mergeCell ref="G472:G473"/>
    <mergeCell ref="A480:A481"/>
    <mergeCell ref="B480:B481"/>
    <mergeCell ref="D480:D481"/>
    <mergeCell ref="A474:A475"/>
    <mergeCell ref="B474:B475"/>
    <mergeCell ref="B470:B471"/>
    <mergeCell ref="D472:D473"/>
    <mergeCell ref="D478:D479"/>
    <mergeCell ref="G460:G461"/>
    <mergeCell ref="H460:H461"/>
    <mergeCell ref="A460:A461"/>
    <mergeCell ref="F460:F461"/>
    <mergeCell ref="H472:H473"/>
    <mergeCell ref="A470:A471"/>
    <mergeCell ref="A468:A469"/>
    <mergeCell ref="H480:H481"/>
    <mergeCell ref="G478:G479"/>
    <mergeCell ref="F468:F469"/>
    <mergeCell ref="A472:A473"/>
    <mergeCell ref="B472:B473"/>
    <mergeCell ref="D462:D463"/>
    <mergeCell ref="F462:F463"/>
    <mergeCell ref="D464:D465"/>
    <mergeCell ref="F464:F465"/>
    <mergeCell ref="D470:D471"/>
    <mergeCell ref="G486:G487"/>
    <mergeCell ref="H486:H487"/>
    <mergeCell ref="D486:D487"/>
    <mergeCell ref="D484:D485"/>
    <mergeCell ref="F484:F485"/>
    <mergeCell ref="G462:G463"/>
    <mergeCell ref="H462:H463"/>
    <mergeCell ref="G464:G465"/>
    <mergeCell ref="F480:F481"/>
    <mergeCell ref="F478:F479"/>
    <mergeCell ref="A466:A467"/>
    <mergeCell ref="B466:B467"/>
    <mergeCell ref="D466:D467"/>
    <mergeCell ref="F466:F467"/>
    <mergeCell ref="H484:H485"/>
    <mergeCell ref="A484:A485"/>
    <mergeCell ref="B484:B485"/>
    <mergeCell ref="F472:F473"/>
    <mergeCell ref="F470:F471"/>
    <mergeCell ref="G480:G481"/>
    <mergeCell ref="H478:H479"/>
    <mergeCell ref="F474:F475"/>
    <mergeCell ref="B478:B479"/>
    <mergeCell ref="H466:H467"/>
    <mergeCell ref="G474:G475"/>
    <mergeCell ref="H474:H475"/>
    <mergeCell ref="A477:H477"/>
    <mergeCell ref="G470:G471"/>
    <mergeCell ref="G468:G469"/>
    <mergeCell ref="H468:H469"/>
    <mergeCell ref="A492:A493"/>
    <mergeCell ref="G502:G503"/>
    <mergeCell ref="G494:G495"/>
    <mergeCell ref="A494:A495"/>
    <mergeCell ref="B492:B493"/>
    <mergeCell ref="D492:D493"/>
    <mergeCell ref="B494:B495"/>
    <mergeCell ref="D494:D495"/>
    <mergeCell ref="F494:F495"/>
    <mergeCell ref="A498:A499"/>
    <mergeCell ref="F496:F497"/>
    <mergeCell ref="G488:G489"/>
    <mergeCell ref="H488:H489"/>
    <mergeCell ref="F492:F493"/>
    <mergeCell ref="G492:G493"/>
    <mergeCell ref="H492:H493"/>
    <mergeCell ref="G496:G497"/>
    <mergeCell ref="H496:H497"/>
    <mergeCell ref="H494:H495"/>
    <mergeCell ref="G482:G483"/>
    <mergeCell ref="F486:F487"/>
    <mergeCell ref="H482:H483"/>
    <mergeCell ref="G484:G485"/>
    <mergeCell ref="A482:A483"/>
    <mergeCell ref="B482:B483"/>
    <mergeCell ref="D482:D483"/>
    <mergeCell ref="F482:F483"/>
    <mergeCell ref="A486:A487"/>
    <mergeCell ref="B486:B487"/>
    <mergeCell ref="A490:A491"/>
    <mergeCell ref="B490:B491"/>
    <mergeCell ref="D490:D491"/>
    <mergeCell ref="H490:H491"/>
    <mergeCell ref="F490:F491"/>
    <mergeCell ref="A488:A489"/>
    <mergeCell ref="B488:B489"/>
    <mergeCell ref="D488:D489"/>
    <mergeCell ref="F488:F489"/>
    <mergeCell ref="G490:G491"/>
    <mergeCell ref="A504:A505"/>
    <mergeCell ref="B504:B505"/>
    <mergeCell ref="D504:D505"/>
    <mergeCell ref="A496:A497"/>
    <mergeCell ref="B496:B497"/>
    <mergeCell ref="B502:B503"/>
    <mergeCell ref="D502:D503"/>
    <mergeCell ref="D500:D501"/>
    <mergeCell ref="D496:D497"/>
    <mergeCell ref="A502:A503"/>
    <mergeCell ref="H504:H505"/>
    <mergeCell ref="F508:F509"/>
    <mergeCell ref="F512:F513"/>
    <mergeCell ref="H502:H503"/>
    <mergeCell ref="G500:G501"/>
    <mergeCell ref="H500:H501"/>
    <mergeCell ref="F498:F499"/>
    <mergeCell ref="F500:F501"/>
    <mergeCell ref="F502:F503"/>
    <mergeCell ref="G498:G499"/>
    <mergeCell ref="H498:H499"/>
    <mergeCell ref="B498:B499"/>
    <mergeCell ref="D498:D499"/>
    <mergeCell ref="A500:A501"/>
    <mergeCell ref="B500:B501"/>
    <mergeCell ref="A520:A521"/>
    <mergeCell ref="B520:B521"/>
    <mergeCell ref="D520:D521"/>
    <mergeCell ref="A516:A517"/>
    <mergeCell ref="B516:B517"/>
    <mergeCell ref="D508:D509"/>
    <mergeCell ref="H512:H513"/>
    <mergeCell ref="A508:A509"/>
    <mergeCell ref="B508:B509"/>
    <mergeCell ref="H516:H517"/>
    <mergeCell ref="A514:A515"/>
    <mergeCell ref="B514:B515"/>
    <mergeCell ref="D514:D515"/>
    <mergeCell ref="F514:F515"/>
    <mergeCell ref="G514:G515"/>
    <mergeCell ref="H514:H515"/>
    <mergeCell ref="H508:H509"/>
    <mergeCell ref="A506:A507"/>
    <mergeCell ref="D512:D513"/>
    <mergeCell ref="A526:A527"/>
    <mergeCell ref="B526:B527"/>
    <mergeCell ref="D526:D527"/>
    <mergeCell ref="F526:F527"/>
    <mergeCell ref="D516:D517"/>
    <mergeCell ref="F516:F517"/>
    <mergeCell ref="A518:A519"/>
    <mergeCell ref="B518:B519"/>
    <mergeCell ref="A524:A525"/>
    <mergeCell ref="G512:G513"/>
    <mergeCell ref="A528:A529"/>
    <mergeCell ref="B528:B529"/>
    <mergeCell ref="G516:G517"/>
    <mergeCell ref="A512:A513"/>
    <mergeCell ref="B512:B513"/>
    <mergeCell ref="D522:D523"/>
    <mergeCell ref="F522:F523"/>
    <mergeCell ref="G506:G507"/>
    <mergeCell ref="H506:H507"/>
    <mergeCell ref="A511:H511"/>
    <mergeCell ref="B506:B507"/>
    <mergeCell ref="D506:D507"/>
    <mergeCell ref="F506:F507"/>
    <mergeCell ref="F504:F505"/>
    <mergeCell ref="G504:G505"/>
    <mergeCell ref="G508:G509"/>
    <mergeCell ref="H536:H537"/>
    <mergeCell ref="A534:A535"/>
    <mergeCell ref="B534:B535"/>
    <mergeCell ref="A536:A537"/>
    <mergeCell ref="B536:B537"/>
    <mergeCell ref="D534:D535"/>
    <mergeCell ref="F534:F535"/>
    <mergeCell ref="G524:G525"/>
    <mergeCell ref="H524:H525"/>
    <mergeCell ref="D528:D529"/>
    <mergeCell ref="F528:F529"/>
    <mergeCell ref="G526:G527"/>
    <mergeCell ref="H526:H527"/>
    <mergeCell ref="G528:G529"/>
    <mergeCell ref="H528:H529"/>
    <mergeCell ref="H518:H519"/>
    <mergeCell ref="G520:G521"/>
    <mergeCell ref="H520:H521"/>
    <mergeCell ref="G518:G519"/>
    <mergeCell ref="D518:D519"/>
    <mergeCell ref="F518:F519"/>
    <mergeCell ref="F520:F521"/>
    <mergeCell ref="H522:H523"/>
    <mergeCell ref="G530:G531"/>
    <mergeCell ref="H530:H531"/>
    <mergeCell ref="A548:A549"/>
    <mergeCell ref="B548:B549"/>
    <mergeCell ref="G542:G543"/>
    <mergeCell ref="H542:H543"/>
    <mergeCell ref="H546:H547"/>
    <mergeCell ref="G546:G547"/>
    <mergeCell ref="D532:D533"/>
    <mergeCell ref="B524:B525"/>
    <mergeCell ref="D536:D537"/>
    <mergeCell ref="F536:F537"/>
    <mergeCell ref="G536:G537"/>
    <mergeCell ref="A522:A523"/>
    <mergeCell ref="B522:B523"/>
    <mergeCell ref="G522:G523"/>
    <mergeCell ref="F532:F533"/>
    <mergeCell ref="D524:D525"/>
    <mergeCell ref="F524:F525"/>
    <mergeCell ref="A532:A533"/>
    <mergeCell ref="B532:B533"/>
    <mergeCell ref="G534:G535"/>
    <mergeCell ref="H534:H535"/>
    <mergeCell ref="A530:A531"/>
    <mergeCell ref="B530:B531"/>
    <mergeCell ref="D530:D531"/>
    <mergeCell ref="F530:F531"/>
    <mergeCell ref="G532:G533"/>
    <mergeCell ref="H532:H533"/>
    <mergeCell ref="A540:A541"/>
    <mergeCell ref="F548:F549"/>
    <mergeCell ref="G548:G549"/>
    <mergeCell ref="H548:H549"/>
    <mergeCell ref="F546:F547"/>
    <mergeCell ref="H540:H541"/>
    <mergeCell ref="G550:G551"/>
    <mergeCell ref="G538:G539"/>
    <mergeCell ref="H538:H539"/>
    <mergeCell ref="A545:H545"/>
    <mergeCell ref="A546:A547"/>
    <mergeCell ref="B546:B547"/>
    <mergeCell ref="A542:A543"/>
    <mergeCell ref="B542:B543"/>
    <mergeCell ref="B552:B553"/>
    <mergeCell ref="F540:F541"/>
    <mergeCell ref="G540:G541"/>
    <mergeCell ref="A550:A551"/>
    <mergeCell ref="B550:B551"/>
    <mergeCell ref="D550:D551"/>
    <mergeCell ref="F550:F551"/>
    <mergeCell ref="D542:D543"/>
    <mergeCell ref="F542:F543"/>
    <mergeCell ref="D546:D547"/>
    <mergeCell ref="A538:A539"/>
    <mergeCell ref="B538:B539"/>
    <mergeCell ref="D538:D539"/>
    <mergeCell ref="F538:F539"/>
    <mergeCell ref="A556:A557"/>
    <mergeCell ref="D552:D553"/>
    <mergeCell ref="D554:D555"/>
    <mergeCell ref="A552:A553"/>
    <mergeCell ref="A554:A555"/>
    <mergeCell ref="B554:B555"/>
    <mergeCell ref="B540:B541"/>
    <mergeCell ref="D540:D541"/>
    <mergeCell ref="H566:H567"/>
    <mergeCell ref="B560:B561"/>
    <mergeCell ref="G556:G557"/>
    <mergeCell ref="H556:H557"/>
    <mergeCell ref="G552:G553"/>
    <mergeCell ref="G560:G561"/>
    <mergeCell ref="H560:H561"/>
    <mergeCell ref="G554:G555"/>
    <mergeCell ref="H554:H555"/>
    <mergeCell ref="H552:H553"/>
    <mergeCell ref="F554:F555"/>
    <mergeCell ref="D560:D561"/>
    <mergeCell ref="F560:F561"/>
    <mergeCell ref="F556:F557"/>
    <mergeCell ref="G558:G559"/>
    <mergeCell ref="H558:H559"/>
    <mergeCell ref="B556:B557"/>
    <mergeCell ref="D556:D557"/>
    <mergeCell ref="A566:A567"/>
    <mergeCell ref="B566:B567"/>
    <mergeCell ref="A564:A565"/>
    <mergeCell ref="B564:B565"/>
    <mergeCell ref="H550:H551"/>
    <mergeCell ref="D548:D549"/>
    <mergeCell ref="D576:D577"/>
    <mergeCell ref="A580:A581"/>
    <mergeCell ref="B562:B563"/>
    <mergeCell ref="D562:D563"/>
    <mergeCell ref="A560:A561"/>
    <mergeCell ref="F552:F553"/>
    <mergeCell ref="A558:A559"/>
    <mergeCell ref="B558:B559"/>
    <mergeCell ref="D558:D559"/>
    <mergeCell ref="F558:F559"/>
    <mergeCell ref="B570:B571"/>
    <mergeCell ref="D570:D571"/>
    <mergeCell ref="H572:H573"/>
    <mergeCell ref="G568:G569"/>
    <mergeCell ref="G574:G575"/>
    <mergeCell ref="A582:A583"/>
    <mergeCell ref="B582:B583"/>
    <mergeCell ref="D582:D583"/>
    <mergeCell ref="A576:A577"/>
    <mergeCell ref="B576:B577"/>
    <mergeCell ref="B572:B573"/>
    <mergeCell ref="D574:D575"/>
    <mergeCell ref="D580:D581"/>
    <mergeCell ref="G562:G563"/>
    <mergeCell ref="H562:H563"/>
    <mergeCell ref="A562:A563"/>
    <mergeCell ref="F562:F563"/>
    <mergeCell ref="H574:H575"/>
    <mergeCell ref="A572:A573"/>
    <mergeCell ref="A570:A571"/>
    <mergeCell ref="H582:H583"/>
    <mergeCell ref="G580:G581"/>
    <mergeCell ref="F570:F571"/>
    <mergeCell ref="A574:A575"/>
    <mergeCell ref="B574:B575"/>
    <mergeCell ref="D564:D565"/>
    <mergeCell ref="F564:F565"/>
    <mergeCell ref="D566:D567"/>
    <mergeCell ref="F566:F567"/>
    <mergeCell ref="D572:D573"/>
    <mergeCell ref="G588:G589"/>
    <mergeCell ref="H588:H589"/>
    <mergeCell ref="D588:D589"/>
    <mergeCell ref="D586:D587"/>
    <mergeCell ref="F586:F587"/>
    <mergeCell ref="G564:G565"/>
    <mergeCell ref="H564:H565"/>
    <mergeCell ref="G566:G567"/>
    <mergeCell ref="F582:F583"/>
    <mergeCell ref="F580:F581"/>
    <mergeCell ref="A568:A569"/>
    <mergeCell ref="B568:B569"/>
    <mergeCell ref="D568:D569"/>
    <mergeCell ref="F568:F569"/>
    <mergeCell ref="H586:H587"/>
    <mergeCell ref="A586:A587"/>
    <mergeCell ref="B586:B587"/>
    <mergeCell ref="F574:F575"/>
    <mergeCell ref="F572:F573"/>
    <mergeCell ref="G582:G583"/>
    <mergeCell ref="H580:H581"/>
    <mergeCell ref="F576:F577"/>
    <mergeCell ref="B580:B581"/>
    <mergeCell ref="H568:H569"/>
    <mergeCell ref="G576:G577"/>
    <mergeCell ref="H576:H577"/>
    <mergeCell ref="A579:H579"/>
    <mergeCell ref="G572:G573"/>
    <mergeCell ref="G570:G571"/>
    <mergeCell ref="H570:H571"/>
    <mergeCell ref="A594:A595"/>
    <mergeCell ref="G604:G605"/>
    <mergeCell ref="G596:G597"/>
    <mergeCell ref="A596:A597"/>
    <mergeCell ref="B594:B595"/>
    <mergeCell ref="D594:D595"/>
    <mergeCell ref="B596:B597"/>
    <mergeCell ref="D596:D597"/>
    <mergeCell ref="F596:F597"/>
    <mergeCell ref="A600:A601"/>
    <mergeCell ref="F598:F599"/>
    <mergeCell ref="G590:G591"/>
    <mergeCell ref="H590:H591"/>
    <mergeCell ref="F594:F595"/>
    <mergeCell ref="G594:G595"/>
    <mergeCell ref="H594:H595"/>
    <mergeCell ref="G598:G599"/>
    <mergeCell ref="H598:H599"/>
    <mergeCell ref="H596:H597"/>
    <mergeCell ref="G584:G585"/>
    <mergeCell ref="F588:F589"/>
    <mergeCell ref="H584:H585"/>
    <mergeCell ref="G586:G587"/>
    <mergeCell ref="A584:A585"/>
    <mergeCell ref="B584:B585"/>
    <mergeCell ref="D584:D585"/>
    <mergeCell ref="F584:F585"/>
    <mergeCell ref="A588:A589"/>
    <mergeCell ref="B588:B589"/>
    <mergeCell ref="A592:A593"/>
    <mergeCell ref="B592:B593"/>
    <mergeCell ref="D592:D593"/>
    <mergeCell ref="H592:H593"/>
    <mergeCell ref="F592:F593"/>
    <mergeCell ref="A590:A591"/>
    <mergeCell ref="B590:B591"/>
    <mergeCell ref="D590:D591"/>
    <mergeCell ref="F590:F591"/>
    <mergeCell ref="G592:G593"/>
    <mergeCell ref="A606:A607"/>
    <mergeCell ref="B606:B607"/>
    <mergeCell ref="D606:D607"/>
    <mergeCell ref="A598:A599"/>
    <mergeCell ref="B598:B599"/>
    <mergeCell ref="B604:B605"/>
    <mergeCell ref="D604:D605"/>
    <mergeCell ref="D602:D603"/>
    <mergeCell ref="D598:D599"/>
    <mergeCell ref="A604:A605"/>
    <mergeCell ref="H606:H607"/>
    <mergeCell ref="F610:F611"/>
    <mergeCell ref="F614:F615"/>
    <mergeCell ref="H604:H605"/>
    <mergeCell ref="G602:G603"/>
    <mergeCell ref="H602:H603"/>
    <mergeCell ref="F600:F601"/>
    <mergeCell ref="F602:F603"/>
    <mergeCell ref="F604:F605"/>
    <mergeCell ref="G600:G601"/>
    <mergeCell ref="H600:H601"/>
    <mergeCell ref="B600:B601"/>
    <mergeCell ref="D600:D601"/>
    <mergeCell ref="A602:A603"/>
    <mergeCell ref="B602:B603"/>
    <mergeCell ref="A622:A623"/>
    <mergeCell ref="B622:B623"/>
    <mergeCell ref="D622:D623"/>
    <mergeCell ref="A618:A619"/>
    <mergeCell ref="B618:B619"/>
    <mergeCell ref="D610:D611"/>
    <mergeCell ref="H614:H615"/>
    <mergeCell ref="A610:A611"/>
    <mergeCell ref="B610:B611"/>
    <mergeCell ref="H618:H619"/>
    <mergeCell ref="A616:A617"/>
    <mergeCell ref="B616:B617"/>
    <mergeCell ref="D616:D617"/>
    <mergeCell ref="F616:F617"/>
    <mergeCell ref="G616:G617"/>
    <mergeCell ref="H616:H617"/>
    <mergeCell ref="H610:H611"/>
    <mergeCell ref="A608:A609"/>
    <mergeCell ref="D614:D615"/>
    <mergeCell ref="A628:A629"/>
    <mergeCell ref="B628:B629"/>
    <mergeCell ref="D628:D629"/>
    <mergeCell ref="F628:F629"/>
    <mergeCell ref="D618:D619"/>
    <mergeCell ref="F618:F619"/>
    <mergeCell ref="A620:A621"/>
    <mergeCell ref="B620:B621"/>
    <mergeCell ref="A626:A627"/>
    <mergeCell ref="G614:G615"/>
    <mergeCell ref="A630:A631"/>
    <mergeCell ref="B630:B631"/>
    <mergeCell ref="G618:G619"/>
    <mergeCell ref="A614:A615"/>
    <mergeCell ref="B614:B615"/>
    <mergeCell ref="D624:D625"/>
    <mergeCell ref="F624:F625"/>
    <mergeCell ref="G608:G609"/>
    <mergeCell ref="H608:H609"/>
    <mergeCell ref="A613:H613"/>
    <mergeCell ref="B608:B609"/>
    <mergeCell ref="D608:D609"/>
    <mergeCell ref="F608:F609"/>
    <mergeCell ref="F606:F607"/>
    <mergeCell ref="G606:G607"/>
    <mergeCell ref="G610:G611"/>
    <mergeCell ref="H638:H639"/>
    <mergeCell ref="A636:A637"/>
    <mergeCell ref="B636:B637"/>
    <mergeCell ref="A638:A639"/>
    <mergeCell ref="B638:B639"/>
    <mergeCell ref="D636:D637"/>
    <mergeCell ref="F636:F637"/>
    <mergeCell ref="G626:G627"/>
    <mergeCell ref="H626:H627"/>
    <mergeCell ref="D630:D631"/>
    <mergeCell ref="F630:F631"/>
    <mergeCell ref="G628:G629"/>
    <mergeCell ref="H628:H629"/>
    <mergeCell ref="G630:G631"/>
    <mergeCell ref="H630:H631"/>
    <mergeCell ref="H620:H621"/>
    <mergeCell ref="G622:G623"/>
    <mergeCell ref="H622:H623"/>
    <mergeCell ref="G620:G621"/>
    <mergeCell ref="D620:D621"/>
    <mergeCell ref="F620:F621"/>
    <mergeCell ref="F622:F623"/>
    <mergeCell ref="H624:H625"/>
    <mergeCell ref="G632:G633"/>
    <mergeCell ref="H632:H633"/>
    <mergeCell ref="A650:A651"/>
    <mergeCell ref="B650:B651"/>
    <mergeCell ref="G644:G645"/>
    <mergeCell ref="H644:H645"/>
    <mergeCell ref="H648:H649"/>
    <mergeCell ref="G648:G649"/>
    <mergeCell ref="D634:D635"/>
    <mergeCell ref="B626:B627"/>
    <mergeCell ref="D638:D639"/>
    <mergeCell ref="F638:F639"/>
    <mergeCell ref="G638:G639"/>
    <mergeCell ref="A624:A625"/>
    <mergeCell ref="B624:B625"/>
    <mergeCell ref="G624:G625"/>
    <mergeCell ref="F634:F635"/>
    <mergeCell ref="D626:D627"/>
    <mergeCell ref="F626:F627"/>
    <mergeCell ref="A634:A635"/>
    <mergeCell ref="B634:B635"/>
    <mergeCell ref="G636:G637"/>
    <mergeCell ref="H636:H637"/>
    <mergeCell ref="A632:A633"/>
    <mergeCell ref="B632:B633"/>
    <mergeCell ref="D632:D633"/>
    <mergeCell ref="F632:F633"/>
    <mergeCell ref="G634:G635"/>
    <mergeCell ref="H634:H635"/>
    <mergeCell ref="A642:A643"/>
    <mergeCell ref="F650:F651"/>
    <mergeCell ref="G650:G651"/>
    <mergeCell ref="H650:H651"/>
    <mergeCell ref="F648:F649"/>
    <mergeCell ref="H642:H643"/>
    <mergeCell ref="G652:G653"/>
    <mergeCell ref="G640:G641"/>
    <mergeCell ref="H640:H641"/>
    <mergeCell ref="A647:H647"/>
    <mergeCell ref="A648:A649"/>
    <mergeCell ref="B648:B649"/>
    <mergeCell ref="A644:A645"/>
    <mergeCell ref="B644:B645"/>
    <mergeCell ref="B654:B655"/>
    <mergeCell ref="F642:F643"/>
    <mergeCell ref="G642:G643"/>
    <mergeCell ref="A652:A653"/>
    <mergeCell ref="B652:B653"/>
    <mergeCell ref="D652:D653"/>
    <mergeCell ref="F652:F653"/>
    <mergeCell ref="D644:D645"/>
    <mergeCell ref="F644:F645"/>
    <mergeCell ref="D648:D649"/>
    <mergeCell ref="A640:A641"/>
    <mergeCell ref="B640:B641"/>
    <mergeCell ref="D640:D641"/>
    <mergeCell ref="F640:F641"/>
    <mergeCell ref="A658:A659"/>
    <mergeCell ref="D654:D655"/>
    <mergeCell ref="D656:D657"/>
    <mergeCell ref="A654:A655"/>
    <mergeCell ref="A656:A657"/>
    <mergeCell ref="B656:B657"/>
    <mergeCell ref="B642:B643"/>
    <mergeCell ref="D642:D643"/>
    <mergeCell ref="H668:H669"/>
    <mergeCell ref="B662:B663"/>
    <mergeCell ref="G658:G659"/>
    <mergeCell ref="H658:H659"/>
    <mergeCell ref="G654:G655"/>
    <mergeCell ref="G662:G663"/>
    <mergeCell ref="H662:H663"/>
    <mergeCell ref="G656:G657"/>
    <mergeCell ref="H656:H657"/>
    <mergeCell ref="H654:H655"/>
    <mergeCell ref="F656:F657"/>
    <mergeCell ref="D662:D663"/>
    <mergeCell ref="F662:F663"/>
    <mergeCell ref="F658:F659"/>
    <mergeCell ref="G660:G661"/>
    <mergeCell ref="H660:H661"/>
    <mergeCell ref="B658:B659"/>
    <mergeCell ref="D658:D659"/>
    <mergeCell ref="A668:A669"/>
    <mergeCell ref="B668:B669"/>
    <mergeCell ref="A666:A667"/>
    <mergeCell ref="B666:B667"/>
    <mergeCell ref="H652:H653"/>
    <mergeCell ref="D650:D651"/>
    <mergeCell ref="D678:D679"/>
    <mergeCell ref="A682:A683"/>
    <mergeCell ref="B664:B665"/>
    <mergeCell ref="D664:D665"/>
    <mergeCell ref="A662:A663"/>
    <mergeCell ref="F654:F655"/>
    <mergeCell ref="A660:A661"/>
    <mergeCell ref="B660:B661"/>
    <mergeCell ref="D660:D661"/>
    <mergeCell ref="F660:F661"/>
    <mergeCell ref="B672:B673"/>
    <mergeCell ref="D672:D673"/>
    <mergeCell ref="H674:H675"/>
    <mergeCell ref="G670:G671"/>
    <mergeCell ref="G676:G677"/>
    <mergeCell ref="A684:A685"/>
    <mergeCell ref="B684:B685"/>
    <mergeCell ref="D684:D685"/>
    <mergeCell ref="A678:A679"/>
    <mergeCell ref="B678:B679"/>
    <mergeCell ref="B674:B675"/>
    <mergeCell ref="D676:D677"/>
    <mergeCell ref="D682:D683"/>
    <mergeCell ref="G664:G665"/>
    <mergeCell ref="H664:H665"/>
    <mergeCell ref="A664:A665"/>
    <mergeCell ref="F664:F665"/>
    <mergeCell ref="H676:H677"/>
    <mergeCell ref="A674:A675"/>
    <mergeCell ref="A672:A673"/>
    <mergeCell ref="H684:H685"/>
    <mergeCell ref="G682:G683"/>
    <mergeCell ref="F672:F673"/>
    <mergeCell ref="A676:A677"/>
    <mergeCell ref="B676:B677"/>
    <mergeCell ref="D666:D667"/>
    <mergeCell ref="F666:F667"/>
    <mergeCell ref="D668:D669"/>
    <mergeCell ref="F668:F669"/>
    <mergeCell ref="D674:D675"/>
    <mergeCell ref="G690:G691"/>
    <mergeCell ref="H690:H691"/>
    <mergeCell ref="D690:D691"/>
    <mergeCell ref="D688:D689"/>
    <mergeCell ref="F688:F689"/>
    <mergeCell ref="G666:G667"/>
    <mergeCell ref="H666:H667"/>
    <mergeCell ref="G668:G669"/>
    <mergeCell ref="F684:F685"/>
    <mergeCell ref="F682:F683"/>
    <mergeCell ref="A670:A671"/>
    <mergeCell ref="B670:B671"/>
    <mergeCell ref="D670:D671"/>
    <mergeCell ref="F670:F671"/>
    <mergeCell ref="H688:H689"/>
    <mergeCell ref="A688:A689"/>
    <mergeCell ref="B688:B689"/>
    <mergeCell ref="F676:F677"/>
    <mergeCell ref="F674:F675"/>
    <mergeCell ref="G684:G685"/>
    <mergeCell ref="H682:H683"/>
    <mergeCell ref="F678:F679"/>
    <mergeCell ref="B682:B683"/>
    <mergeCell ref="H670:H671"/>
    <mergeCell ref="G678:G679"/>
    <mergeCell ref="H678:H679"/>
    <mergeCell ref="A681:H681"/>
    <mergeCell ref="G674:G675"/>
    <mergeCell ref="G672:G673"/>
    <mergeCell ref="H672:H673"/>
    <mergeCell ref="A696:A697"/>
    <mergeCell ref="G706:G707"/>
    <mergeCell ref="G698:G699"/>
    <mergeCell ref="A698:A699"/>
    <mergeCell ref="B696:B697"/>
    <mergeCell ref="D696:D697"/>
    <mergeCell ref="B698:B699"/>
    <mergeCell ref="D698:D699"/>
    <mergeCell ref="F698:F699"/>
    <mergeCell ref="A702:A703"/>
    <mergeCell ref="F700:F701"/>
    <mergeCell ref="G692:G693"/>
    <mergeCell ref="H692:H693"/>
    <mergeCell ref="F696:F697"/>
    <mergeCell ref="G696:G697"/>
    <mergeCell ref="H696:H697"/>
    <mergeCell ref="G700:G701"/>
    <mergeCell ref="H700:H701"/>
    <mergeCell ref="H698:H699"/>
    <mergeCell ref="G686:G687"/>
    <mergeCell ref="F690:F691"/>
    <mergeCell ref="H686:H687"/>
    <mergeCell ref="G688:G689"/>
    <mergeCell ref="A686:A687"/>
    <mergeCell ref="B686:B687"/>
    <mergeCell ref="D686:D687"/>
    <mergeCell ref="F686:F687"/>
    <mergeCell ref="A690:A691"/>
    <mergeCell ref="B690:B691"/>
    <mergeCell ref="A694:A695"/>
    <mergeCell ref="B694:B695"/>
    <mergeCell ref="D694:D695"/>
    <mergeCell ref="H694:H695"/>
    <mergeCell ref="F694:F695"/>
    <mergeCell ref="A692:A693"/>
    <mergeCell ref="B692:B693"/>
    <mergeCell ref="D692:D693"/>
    <mergeCell ref="F692:F693"/>
    <mergeCell ref="G694:G695"/>
    <mergeCell ref="A708:A709"/>
    <mergeCell ref="B708:B709"/>
    <mergeCell ref="D708:D709"/>
    <mergeCell ref="A700:A701"/>
    <mergeCell ref="B700:B701"/>
    <mergeCell ref="B706:B707"/>
    <mergeCell ref="D706:D707"/>
    <mergeCell ref="D704:D705"/>
    <mergeCell ref="D700:D701"/>
    <mergeCell ref="A706:A707"/>
    <mergeCell ref="H708:H709"/>
    <mergeCell ref="F712:F713"/>
    <mergeCell ref="F716:F717"/>
    <mergeCell ref="H706:H707"/>
    <mergeCell ref="G704:G705"/>
    <mergeCell ref="H704:H705"/>
    <mergeCell ref="F702:F703"/>
    <mergeCell ref="F704:F705"/>
    <mergeCell ref="F706:F707"/>
    <mergeCell ref="G702:G703"/>
    <mergeCell ref="H702:H703"/>
    <mergeCell ref="B702:B703"/>
    <mergeCell ref="D702:D703"/>
    <mergeCell ref="A704:A705"/>
    <mergeCell ref="B704:B705"/>
    <mergeCell ref="A724:A725"/>
    <mergeCell ref="B724:B725"/>
    <mergeCell ref="D724:D725"/>
    <mergeCell ref="A720:A721"/>
    <mergeCell ref="B720:B721"/>
    <mergeCell ref="D712:D713"/>
    <mergeCell ref="H716:H717"/>
    <mergeCell ref="A712:A713"/>
    <mergeCell ref="B712:B713"/>
    <mergeCell ref="H720:H721"/>
    <mergeCell ref="A718:A719"/>
    <mergeCell ref="B718:B719"/>
    <mergeCell ref="D718:D719"/>
    <mergeCell ref="F718:F719"/>
    <mergeCell ref="G718:G719"/>
    <mergeCell ref="H718:H719"/>
    <mergeCell ref="H712:H713"/>
    <mergeCell ref="A710:A711"/>
    <mergeCell ref="D716:D717"/>
    <mergeCell ref="A730:A731"/>
    <mergeCell ref="B730:B731"/>
    <mergeCell ref="D730:D731"/>
    <mergeCell ref="F730:F731"/>
    <mergeCell ref="D720:D721"/>
    <mergeCell ref="F720:F721"/>
    <mergeCell ref="A722:A723"/>
    <mergeCell ref="B722:B723"/>
    <mergeCell ref="A728:A729"/>
    <mergeCell ref="G716:G717"/>
    <mergeCell ref="A732:A733"/>
    <mergeCell ref="B732:B733"/>
    <mergeCell ref="G720:G721"/>
    <mergeCell ref="A716:A717"/>
    <mergeCell ref="B716:B717"/>
    <mergeCell ref="D726:D727"/>
    <mergeCell ref="F726:F727"/>
    <mergeCell ref="G710:G711"/>
    <mergeCell ref="H710:H711"/>
    <mergeCell ref="A715:H715"/>
    <mergeCell ref="B710:B711"/>
    <mergeCell ref="D710:D711"/>
    <mergeCell ref="F710:F711"/>
    <mergeCell ref="F708:F709"/>
    <mergeCell ref="G708:G709"/>
    <mergeCell ref="G712:G713"/>
    <mergeCell ref="H740:H741"/>
    <mergeCell ref="A738:A739"/>
    <mergeCell ref="B738:B739"/>
    <mergeCell ref="A740:A741"/>
    <mergeCell ref="B740:B741"/>
    <mergeCell ref="D738:D739"/>
    <mergeCell ref="F738:F739"/>
    <mergeCell ref="G728:G729"/>
    <mergeCell ref="H728:H729"/>
    <mergeCell ref="D732:D733"/>
    <mergeCell ref="F732:F733"/>
    <mergeCell ref="G730:G731"/>
    <mergeCell ref="H730:H731"/>
    <mergeCell ref="G732:G733"/>
    <mergeCell ref="H732:H733"/>
    <mergeCell ref="H722:H723"/>
    <mergeCell ref="G724:G725"/>
    <mergeCell ref="H724:H725"/>
    <mergeCell ref="G722:G723"/>
    <mergeCell ref="D722:D723"/>
    <mergeCell ref="F722:F723"/>
    <mergeCell ref="F724:F725"/>
    <mergeCell ref="H726:H727"/>
    <mergeCell ref="G734:G735"/>
    <mergeCell ref="H734:H735"/>
    <mergeCell ref="A752:A753"/>
    <mergeCell ref="B752:B753"/>
    <mergeCell ref="G746:G747"/>
    <mergeCell ref="H746:H747"/>
    <mergeCell ref="H750:H751"/>
    <mergeCell ref="G750:G751"/>
    <mergeCell ref="D736:D737"/>
    <mergeCell ref="B728:B729"/>
    <mergeCell ref="D740:D741"/>
    <mergeCell ref="F740:F741"/>
    <mergeCell ref="G740:G741"/>
    <mergeCell ref="A726:A727"/>
    <mergeCell ref="B726:B727"/>
    <mergeCell ref="G726:G727"/>
    <mergeCell ref="F736:F737"/>
    <mergeCell ref="D728:D729"/>
    <mergeCell ref="F728:F729"/>
    <mergeCell ref="A736:A737"/>
    <mergeCell ref="B736:B737"/>
    <mergeCell ref="G738:G739"/>
    <mergeCell ref="H738:H739"/>
    <mergeCell ref="A734:A735"/>
    <mergeCell ref="B734:B735"/>
    <mergeCell ref="D734:D735"/>
    <mergeCell ref="F734:F735"/>
    <mergeCell ref="G736:G737"/>
    <mergeCell ref="H736:H737"/>
    <mergeCell ref="A744:A745"/>
    <mergeCell ref="F752:F753"/>
    <mergeCell ref="G752:G753"/>
    <mergeCell ref="H752:H753"/>
    <mergeCell ref="F750:F751"/>
    <mergeCell ref="H744:H745"/>
    <mergeCell ref="G754:G755"/>
    <mergeCell ref="G742:G743"/>
    <mergeCell ref="H742:H743"/>
    <mergeCell ref="A749:H749"/>
    <mergeCell ref="A750:A751"/>
    <mergeCell ref="B750:B751"/>
    <mergeCell ref="A746:A747"/>
    <mergeCell ref="B746:B747"/>
    <mergeCell ref="B756:B757"/>
    <mergeCell ref="F744:F745"/>
    <mergeCell ref="G744:G745"/>
    <mergeCell ref="A754:A755"/>
    <mergeCell ref="B754:B755"/>
    <mergeCell ref="D754:D755"/>
    <mergeCell ref="F754:F755"/>
    <mergeCell ref="D746:D747"/>
    <mergeCell ref="F746:F747"/>
    <mergeCell ref="D750:D751"/>
    <mergeCell ref="A742:A743"/>
    <mergeCell ref="B742:B743"/>
    <mergeCell ref="D742:D743"/>
    <mergeCell ref="F742:F743"/>
    <mergeCell ref="A760:A761"/>
    <mergeCell ref="D756:D757"/>
    <mergeCell ref="D758:D759"/>
    <mergeCell ref="A756:A757"/>
    <mergeCell ref="A758:A759"/>
    <mergeCell ref="B758:B759"/>
    <mergeCell ref="B744:B745"/>
    <mergeCell ref="D744:D745"/>
    <mergeCell ref="H770:H771"/>
    <mergeCell ref="B764:B765"/>
    <mergeCell ref="G760:G761"/>
    <mergeCell ref="H760:H761"/>
    <mergeCell ref="G756:G757"/>
    <mergeCell ref="G764:G765"/>
    <mergeCell ref="H764:H765"/>
    <mergeCell ref="G758:G759"/>
    <mergeCell ref="H758:H759"/>
    <mergeCell ref="H756:H757"/>
    <mergeCell ref="F758:F759"/>
    <mergeCell ref="D764:D765"/>
    <mergeCell ref="F764:F765"/>
    <mergeCell ref="F760:F761"/>
    <mergeCell ref="G762:G763"/>
    <mergeCell ref="H762:H763"/>
    <mergeCell ref="B760:B761"/>
    <mergeCell ref="D760:D761"/>
    <mergeCell ref="A770:A771"/>
    <mergeCell ref="B770:B771"/>
    <mergeCell ref="A768:A769"/>
    <mergeCell ref="B768:B769"/>
    <mergeCell ref="H754:H755"/>
    <mergeCell ref="D752:D753"/>
    <mergeCell ref="D780:D781"/>
    <mergeCell ref="A784:A785"/>
    <mergeCell ref="B766:B767"/>
    <mergeCell ref="D766:D767"/>
    <mergeCell ref="A764:A765"/>
    <mergeCell ref="F756:F757"/>
    <mergeCell ref="A762:A763"/>
    <mergeCell ref="B762:B763"/>
    <mergeCell ref="D762:D763"/>
    <mergeCell ref="F762:F763"/>
    <mergeCell ref="B774:B775"/>
    <mergeCell ref="D774:D775"/>
    <mergeCell ref="H776:H777"/>
    <mergeCell ref="G772:G773"/>
    <mergeCell ref="G778:G779"/>
    <mergeCell ref="A786:A787"/>
    <mergeCell ref="B786:B787"/>
    <mergeCell ref="D786:D787"/>
    <mergeCell ref="A780:A781"/>
    <mergeCell ref="B780:B781"/>
    <mergeCell ref="B776:B777"/>
    <mergeCell ref="D778:D779"/>
    <mergeCell ref="D784:D785"/>
    <mergeCell ref="G766:G767"/>
    <mergeCell ref="H766:H767"/>
    <mergeCell ref="A766:A767"/>
    <mergeCell ref="F766:F767"/>
    <mergeCell ref="H778:H779"/>
    <mergeCell ref="A776:A777"/>
    <mergeCell ref="A774:A775"/>
    <mergeCell ref="H786:H787"/>
    <mergeCell ref="G784:G785"/>
    <mergeCell ref="F774:F775"/>
    <mergeCell ref="A778:A779"/>
    <mergeCell ref="B778:B779"/>
    <mergeCell ref="D768:D769"/>
    <mergeCell ref="F768:F769"/>
    <mergeCell ref="D770:D771"/>
    <mergeCell ref="F770:F771"/>
    <mergeCell ref="D776:D777"/>
    <mergeCell ref="G792:G793"/>
    <mergeCell ref="H792:H793"/>
    <mergeCell ref="D792:D793"/>
    <mergeCell ref="D790:D791"/>
    <mergeCell ref="F790:F791"/>
    <mergeCell ref="G768:G769"/>
    <mergeCell ref="H768:H769"/>
    <mergeCell ref="G770:G771"/>
    <mergeCell ref="F786:F787"/>
    <mergeCell ref="F784:F785"/>
    <mergeCell ref="A772:A773"/>
    <mergeCell ref="B772:B773"/>
    <mergeCell ref="D772:D773"/>
    <mergeCell ref="F772:F773"/>
    <mergeCell ref="H790:H791"/>
    <mergeCell ref="A790:A791"/>
    <mergeCell ref="B790:B791"/>
    <mergeCell ref="F778:F779"/>
    <mergeCell ref="F776:F777"/>
    <mergeCell ref="G786:G787"/>
    <mergeCell ref="H784:H785"/>
    <mergeCell ref="F780:F781"/>
    <mergeCell ref="B784:B785"/>
    <mergeCell ref="H772:H773"/>
    <mergeCell ref="G780:G781"/>
    <mergeCell ref="H780:H781"/>
    <mergeCell ref="A783:H783"/>
    <mergeCell ref="G776:G777"/>
    <mergeCell ref="G774:G775"/>
    <mergeCell ref="H774:H775"/>
    <mergeCell ref="A798:A799"/>
    <mergeCell ref="G808:G809"/>
    <mergeCell ref="G800:G801"/>
    <mergeCell ref="A800:A801"/>
    <mergeCell ref="B798:B799"/>
    <mergeCell ref="D798:D799"/>
    <mergeCell ref="B800:B801"/>
    <mergeCell ref="D800:D801"/>
    <mergeCell ref="F800:F801"/>
    <mergeCell ref="A804:A805"/>
    <mergeCell ref="F802:F803"/>
    <mergeCell ref="G794:G795"/>
    <mergeCell ref="H794:H795"/>
    <mergeCell ref="F798:F799"/>
    <mergeCell ref="G798:G799"/>
    <mergeCell ref="H798:H799"/>
    <mergeCell ref="G802:G803"/>
    <mergeCell ref="H802:H803"/>
    <mergeCell ref="H800:H801"/>
    <mergeCell ref="G788:G789"/>
    <mergeCell ref="F792:F793"/>
    <mergeCell ref="H788:H789"/>
    <mergeCell ref="G790:G791"/>
    <mergeCell ref="A788:A789"/>
    <mergeCell ref="B788:B789"/>
    <mergeCell ref="D788:D789"/>
    <mergeCell ref="F788:F789"/>
    <mergeCell ref="A792:A793"/>
    <mergeCell ref="B792:B793"/>
    <mergeCell ref="A796:A797"/>
    <mergeCell ref="B796:B797"/>
    <mergeCell ref="D796:D797"/>
    <mergeCell ref="H796:H797"/>
    <mergeCell ref="F796:F797"/>
    <mergeCell ref="A794:A795"/>
    <mergeCell ref="B794:B795"/>
    <mergeCell ref="D794:D795"/>
    <mergeCell ref="F794:F795"/>
    <mergeCell ref="G796:G797"/>
    <mergeCell ref="A810:A811"/>
    <mergeCell ref="B810:B811"/>
    <mergeCell ref="D810:D811"/>
    <mergeCell ref="A802:A803"/>
    <mergeCell ref="B802:B803"/>
    <mergeCell ref="B808:B809"/>
    <mergeCell ref="D808:D809"/>
    <mergeCell ref="D806:D807"/>
    <mergeCell ref="D802:D803"/>
    <mergeCell ref="A808:A809"/>
    <mergeCell ref="H810:H811"/>
    <mergeCell ref="F814:F815"/>
    <mergeCell ref="F818:F819"/>
    <mergeCell ref="H808:H809"/>
    <mergeCell ref="G806:G807"/>
    <mergeCell ref="H806:H807"/>
    <mergeCell ref="F804:F805"/>
    <mergeCell ref="F806:F807"/>
    <mergeCell ref="F808:F809"/>
    <mergeCell ref="G804:G805"/>
    <mergeCell ref="H804:H805"/>
    <mergeCell ref="B804:B805"/>
    <mergeCell ref="D804:D805"/>
    <mergeCell ref="A806:A807"/>
    <mergeCell ref="B806:B807"/>
    <mergeCell ref="A826:A827"/>
    <mergeCell ref="B826:B827"/>
    <mergeCell ref="D826:D827"/>
    <mergeCell ref="A822:A823"/>
    <mergeCell ref="B822:B823"/>
    <mergeCell ref="D814:D815"/>
    <mergeCell ref="H818:H819"/>
    <mergeCell ref="A814:A815"/>
    <mergeCell ref="B814:B815"/>
    <mergeCell ref="H822:H823"/>
    <mergeCell ref="A820:A821"/>
    <mergeCell ref="B820:B821"/>
    <mergeCell ref="D820:D821"/>
    <mergeCell ref="F820:F821"/>
    <mergeCell ref="G820:G821"/>
    <mergeCell ref="H820:H821"/>
    <mergeCell ref="H814:H815"/>
    <mergeCell ref="A812:A813"/>
    <mergeCell ref="D818:D819"/>
    <mergeCell ref="A832:A833"/>
    <mergeCell ref="B832:B833"/>
    <mergeCell ref="D832:D833"/>
    <mergeCell ref="F832:F833"/>
    <mergeCell ref="D822:D823"/>
    <mergeCell ref="F822:F823"/>
    <mergeCell ref="A824:A825"/>
    <mergeCell ref="B824:B825"/>
    <mergeCell ref="A830:A831"/>
    <mergeCell ref="G818:G819"/>
    <mergeCell ref="A834:A835"/>
    <mergeCell ref="B834:B835"/>
    <mergeCell ref="G822:G823"/>
    <mergeCell ref="A818:A819"/>
    <mergeCell ref="B818:B819"/>
    <mergeCell ref="D828:D829"/>
    <mergeCell ref="F828:F829"/>
    <mergeCell ref="G812:G813"/>
    <mergeCell ref="H812:H813"/>
    <mergeCell ref="A817:H817"/>
    <mergeCell ref="B812:B813"/>
    <mergeCell ref="D812:D813"/>
    <mergeCell ref="F812:F813"/>
    <mergeCell ref="F810:F811"/>
    <mergeCell ref="G810:G811"/>
    <mergeCell ref="G814:G815"/>
    <mergeCell ref="H842:H843"/>
    <mergeCell ref="A840:A841"/>
    <mergeCell ref="B840:B841"/>
    <mergeCell ref="A842:A843"/>
    <mergeCell ref="B842:B843"/>
    <mergeCell ref="D840:D841"/>
    <mergeCell ref="F840:F841"/>
    <mergeCell ref="G830:G831"/>
    <mergeCell ref="H830:H831"/>
    <mergeCell ref="D834:D835"/>
    <mergeCell ref="F834:F835"/>
    <mergeCell ref="G832:G833"/>
    <mergeCell ref="H832:H833"/>
    <mergeCell ref="G834:G835"/>
    <mergeCell ref="H834:H835"/>
    <mergeCell ref="H824:H825"/>
    <mergeCell ref="G826:G827"/>
    <mergeCell ref="H826:H827"/>
    <mergeCell ref="G824:G825"/>
    <mergeCell ref="D824:D825"/>
    <mergeCell ref="F824:F825"/>
    <mergeCell ref="F826:F827"/>
    <mergeCell ref="H828:H829"/>
    <mergeCell ref="G836:G837"/>
    <mergeCell ref="H836:H837"/>
    <mergeCell ref="A854:A855"/>
    <mergeCell ref="B854:B855"/>
    <mergeCell ref="G848:G849"/>
    <mergeCell ref="H848:H849"/>
    <mergeCell ref="H852:H853"/>
    <mergeCell ref="G852:G853"/>
    <mergeCell ref="D838:D839"/>
    <mergeCell ref="B830:B831"/>
    <mergeCell ref="D842:D843"/>
    <mergeCell ref="F842:F843"/>
    <mergeCell ref="G842:G843"/>
    <mergeCell ref="A828:A829"/>
    <mergeCell ref="B828:B829"/>
    <mergeCell ref="G828:G829"/>
    <mergeCell ref="F838:F839"/>
    <mergeCell ref="D830:D831"/>
    <mergeCell ref="F830:F831"/>
    <mergeCell ref="A838:A839"/>
    <mergeCell ref="B838:B839"/>
    <mergeCell ref="G840:G841"/>
    <mergeCell ref="H840:H841"/>
    <mergeCell ref="A836:A837"/>
    <mergeCell ref="B836:B837"/>
    <mergeCell ref="D836:D837"/>
    <mergeCell ref="F836:F837"/>
    <mergeCell ref="G838:G839"/>
    <mergeCell ref="H838:H839"/>
    <mergeCell ref="A846:A847"/>
    <mergeCell ref="F854:F855"/>
    <mergeCell ref="G854:G855"/>
    <mergeCell ref="H854:H855"/>
    <mergeCell ref="F852:F853"/>
    <mergeCell ref="H846:H847"/>
    <mergeCell ref="G856:G857"/>
    <mergeCell ref="G844:G845"/>
    <mergeCell ref="H844:H845"/>
    <mergeCell ref="A851:H851"/>
    <mergeCell ref="A852:A853"/>
    <mergeCell ref="B852:B853"/>
    <mergeCell ref="A848:A849"/>
    <mergeCell ref="B848:B849"/>
    <mergeCell ref="B858:B859"/>
    <mergeCell ref="F846:F847"/>
    <mergeCell ref="G846:G847"/>
    <mergeCell ref="A856:A857"/>
    <mergeCell ref="B856:B857"/>
    <mergeCell ref="D856:D857"/>
    <mergeCell ref="F856:F857"/>
    <mergeCell ref="D848:D849"/>
    <mergeCell ref="F848:F849"/>
    <mergeCell ref="D852:D853"/>
    <mergeCell ref="A844:A845"/>
    <mergeCell ref="B844:B845"/>
    <mergeCell ref="D844:D845"/>
    <mergeCell ref="F844:F845"/>
    <mergeCell ref="A862:A863"/>
    <mergeCell ref="D858:D859"/>
    <mergeCell ref="D860:D861"/>
    <mergeCell ref="A858:A859"/>
    <mergeCell ref="A860:A861"/>
    <mergeCell ref="B860:B861"/>
    <mergeCell ref="B846:B847"/>
    <mergeCell ref="D846:D847"/>
    <mergeCell ref="H872:H873"/>
    <mergeCell ref="B866:B867"/>
    <mergeCell ref="G862:G863"/>
    <mergeCell ref="H862:H863"/>
    <mergeCell ref="G858:G859"/>
    <mergeCell ref="G866:G867"/>
    <mergeCell ref="H866:H867"/>
    <mergeCell ref="G860:G861"/>
    <mergeCell ref="H860:H861"/>
    <mergeCell ref="H858:H859"/>
    <mergeCell ref="F860:F861"/>
    <mergeCell ref="D866:D867"/>
    <mergeCell ref="F866:F867"/>
    <mergeCell ref="F862:F863"/>
    <mergeCell ref="G864:G865"/>
    <mergeCell ref="H864:H865"/>
    <mergeCell ref="B862:B863"/>
    <mergeCell ref="D862:D863"/>
    <mergeCell ref="A872:A873"/>
    <mergeCell ref="B872:B873"/>
    <mergeCell ref="A870:A871"/>
    <mergeCell ref="B870:B871"/>
    <mergeCell ref="H856:H857"/>
    <mergeCell ref="D854:D855"/>
    <mergeCell ref="D882:D883"/>
    <mergeCell ref="A886:A887"/>
    <mergeCell ref="B868:B869"/>
    <mergeCell ref="D868:D869"/>
    <mergeCell ref="A866:A867"/>
    <mergeCell ref="F858:F859"/>
    <mergeCell ref="A864:A865"/>
    <mergeCell ref="B864:B865"/>
    <mergeCell ref="D864:D865"/>
    <mergeCell ref="F864:F865"/>
    <mergeCell ref="B876:B877"/>
    <mergeCell ref="D876:D877"/>
    <mergeCell ref="H878:H879"/>
    <mergeCell ref="G874:G875"/>
    <mergeCell ref="G880:G881"/>
    <mergeCell ref="A888:A889"/>
    <mergeCell ref="B888:B889"/>
    <mergeCell ref="D888:D889"/>
    <mergeCell ref="A882:A883"/>
    <mergeCell ref="B882:B883"/>
    <mergeCell ref="B878:B879"/>
    <mergeCell ref="D880:D881"/>
    <mergeCell ref="D886:D887"/>
    <mergeCell ref="G868:G869"/>
    <mergeCell ref="H868:H869"/>
    <mergeCell ref="A868:A869"/>
    <mergeCell ref="F868:F869"/>
    <mergeCell ref="H880:H881"/>
    <mergeCell ref="A878:A879"/>
    <mergeCell ref="A876:A877"/>
    <mergeCell ref="H888:H889"/>
    <mergeCell ref="G886:G887"/>
    <mergeCell ref="F876:F877"/>
    <mergeCell ref="A880:A881"/>
    <mergeCell ref="B880:B881"/>
    <mergeCell ref="D870:D871"/>
    <mergeCell ref="F870:F871"/>
    <mergeCell ref="D872:D873"/>
    <mergeCell ref="F872:F873"/>
    <mergeCell ref="D878:D879"/>
    <mergeCell ref="G894:G895"/>
    <mergeCell ref="H894:H895"/>
    <mergeCell ref="D894:D895"/>
    <mergeCell ref="D892:D893"/>
    <mergeCell ref="F892:F893"/>
    <mergeCell ref="G870:G871"/>
    <mergeCell ref="H870:H871"/>
    <mergeCell ref="G872:G873"/>
    <mergeCell ref="F888:F889"/>
    <mergeCell ref="F886:F887"/>
    <mergeCell ref="A874:A875"/>
    <mergeCell ref="B874:B875"/>
    <mergeCell ref="D874:D875"/>
    <mergeCell ref="F874:F875"/>
    <mergeCell ref="H892:H893"/>
    <mergeCell ref="A892:A893"/>
    <mergeCell ref="B892:B893"/>
    <mergeCell ref="F880:F881"/>
    <mergeCell ref="F878:F879"/>
    <mergeCell ref="G888:G889"/>
    <mergeCell ref="H886:H887"/>
    <mergeCell ref="F882:F883"/>
    <mergeCell ref="B886:B887"/>
    <mergeCell ref="H874:H875"/>
    <mergeCell ref="G916:G917"/>
    <mergeCell ref="D920:D921"/>
    <mergeCell ref="G914:G915"/>
    <mergeCell ref="G882:G883"/>
    <mergeCell ref="H882:H883"/>
    <mergeCell ref="A885:H885"/>
    <mergeCell ref="G878:G879"/>
    <mergeCell ref="G876:G877"/>
    <mergeCell ref="H876:H877"/>
    <mergeCell ref="A900:A901"/>
    <mergeCell ref="G910:G911"/>
    <mergeCell ref="G902:G903"/>
    <mergeCell ref="A902:A903"/>
    <mergeCell ref="B900:B901"/>
    <mergeCell ref="D900:D901"/>
    <mergeCell ref="B902:B903"/>
    <mergeCell ref="D902:D903"/>
    <mergeCell ref="F902:F903"/>
    <mergeCell ref="A906:A907"/>
    <mergeCell ref="F904:F905"/>
    <mergeCell ref="G896:G897"/>
    <mergeCell ref="H896:H897"/>
    <mergeCell ref="F900:F901"/>
    <mergeCell ref="G900:G901"/>
    <mergeCell ref="H900:H901"/>
    <mergeCell ref="G904:G905"/>
    <mergeCell ref="H904:H905"/>
    <mergeCell ref="H902:H903"/>
    <mergeCell ref="G890:G891"/>
    <mergeCell ref="F894:F895"/>
    <mergeCell ref="H890:H891"/>
    <mergeCell ref="G892:G893"/>
    <mergeCell ref="F890:F891"/>
    <mergeCell ref="A894:A895"/>
    <mergeCell ref="B894:B895"/>
    <mergeCell ref="A898:A899"/>
    <mergeCell ref="B898:B899"/>
    <mergeCell ref="D898:D899"/>
    <mergeCell ref="H898:H899"/>
    <mergeCell ref="F898:F899"/>
    <mergeCell ref="A896:A897"/>
    <mergeCell ref="B896:B897"/>
    <mergeCell ref="D896:D897"/>
    <mergeCell ref="F896:F897"/>
    <mergeCell ref="G898:G899"/>
    <mergeCell ref="A912:A913"/>
    <mergeCell ref="B912:B913"/>
    <mergeCell ref="D912:D913"/>
    <mergeCell ref="A904:A905"/>
    <mergeCell ref="B904:B905"/>
    <mergeCell ref="B910:B911"/>
    <mergeCell ref="D910:D911"/>
    <mergeCell ref="D908:D909"/>
    <mergeCell ref="D904:D905"/>
    <mergeCell ref="A910:A911"/>
    <mergeCell ref="H912:H913"/>
    <mergeCell ref="F912:F913"/>
    <mergeCell ref="G912:G913"/>
    <mergeCell ref="A890:A891"/>
    <mergeCell ref="B890:B891"/>
    <mergeCell ref="D890:D891"/>
    <mergeCell ref="F916:F917"/>
    <mergeCell ref="F920:F921"/>
    <mergeCell ref="H910:H911"/>
    <mergeCell ref="G908:G909"/>
    <mergeCell ref="H908:H909"/>
    <mergeCell ref="F906:F907"/>
    <mergeCell ref="F908:F909"/>
    <mergeCell ref="F910:F911"/>
    <mergeCell ref="G906:G907"/>
    <mergeCell ref="H906:H907"/>
    <mergeCell ref="B906:B907"/>
    <mergeCell ref="D906:D907"/>
    <mergeCell ref="A908:A909"/>
    <mergeCell ref="B908:B909"/>
    <mergeCell ref="A928:A929"/>
    <mergeCell ref="B928:B929"/>
    <mergeCell ref="D928:D929"/>
    <mergeCell ref="A924:A925"/>
    <mergeCell ref="B924:B925"/>
    <mergeCell ref="D916:D917"/>
    <mergeCell ref="H920:H921"/>
    <mergeCell ref="A916:A917"/>
    <mergeCell ref="B916:B917"/>
    <mergeCell ref="H924:H925"/>
    <mergeCell ref="A922:A923"/>
    <mergeCell ref="B922:B923"/>
    <mergeCell ref="D922:D923"/>
    <mergeCell ref="F922:F923"/>
    <mergeCell ref="G922:G923"/>
    <mergeCell ref="H922:H923"/>
    <mergeCell ref="H916:H917"/>
    <mergeCell ref="A914:A915"/>
    <mergeCell ref="G932:G933"/>
    <mergeCell ref="H932:H933"/>
    <mergeCell ref="D936:D937"/>
    <mergeCell ref="F936:F937"/>
    <mergeCell ref="G934:G935"/>
    <mergeCell ref="H934:H935"/>
    <mergeCell ref="G936:G937"/>
    <mergeCell ref="H936:H937"/>
    <mergeCell ref="H926:H927"/>
    <mergeCell ref="G928:G929"/>
    <mergeCell ref="H928:H929"/>
    <mergeCell ref="G926:G927"/>
    <mergeCell ref="D926:D927"/>
    <mergeCell ref="F926:F927"/>
    <mergeCell ref="F928:F929"/>
    <mergeCell ref="H930:H931"/>
    <mergeCell ref="A934:A935"/>
    <mergeCell ref="B934:B935"/>
    <mergeCell ref="D934:D935"/>
    <mergeCell ref="F934:F935"/>
    <mergeCell ref="D930:D931"/>
    <mergeCell ref="F930:F931"/>
    <mergeCell ref="B932:B933"/>
    <mergeCell ref="H914:H915"/>
    <mergeCell ref="A919:H919"/>
    <mergeCell ref="B914:B915"/>
    <mergeCell ref="D914:D915"/>
    <mergeCell ref="F914:F915"/>
    <mergeCell ref="F924:F925"/>
    <mergeCell ref="A926:A927"/>
    <mergeCell ref="B926:B927"/>
    <mergeCell ref="A932:A933"/>
    <mergeCell ref="G920:G921"/>
    <mergeCell ref="A936:A937"/>
    <mergeCell ref="B936:B937"/>
    <mergeCell ref="G924:G925"/>
    <mergeCell ref="A920:A921"/>
    <mergeCell ref="B920:B921"/>
    <mergeCell ref="B950:B951"/>
    <mergeCell ref="G948:G949"/>
    <mergeCell ref="D924:D925"/>
    <mergeCell ref="A930:A931"/>
    <mergeCell ref="B930:B931"/>
    <mergeCell ref="G930:G931"/>
    <mergeCell ref="F940:F941"/>
    <mergeCell ref="D932:D933"/>
    <mergeCell ref="F932:F933"/>
    <mergeCell ref="A940:A941"/>
    <mergeCell ref="B940:B941"/>
    <mergeCell ref="G942:G943"/>
    <mergeCell ref="H942:H943"/>
    <mergeCell ref="A938:A939"/>
    <mergeCell ref="B938:B939"/>
    <mergeCell ref="D938:D939"/>
    <mergeCell ref="F938:F939"/>
    <mergeCell ref="D960:D961"/>
    <mergeCell ref="F960:F961"/>
    <mergeCell ref="D948:D949"/>
    <mergeCell ref="A958:A959"/>
    <mergeCell ref="B958:B959"/>
    <mergeCell ref="D958:D959"/>
    <mergeCell ref="G938:G939"/>
    <mergeCell ref="H938:H939"/>
    <mergeCell ref="A956:A957"/>
    <mergeCell ref="B956:B957"/>
    <mergeCell ref="G950:G951"/>
    <mergeCell ref="H950:H951"/>
    <mergeCell ref="H954:H955"/>
    <mergeCell ref="G954:G955"/>
    <mergeCell ref="D940:D941"/>
    <mergeCell ref="F954:F955"/>
    <mergeCell ref="A946:A947"/>
    <mergeCell ref="B946:B947"/>
    <mergeCell ref="B960:B961"/>
    <mergeCell ref="D944:D945"/>
    <mergeCell ref="F944:F945"/>
    <mergeCell ref="G944:G945"/>
    <mergeCell ref="G940:G941"/>
    <mergeCell ref="H940:H941"/>
    <mergeCell ref="H944:H945"/>
    <mergeCell ref="A942:A943"/>
    <mergeCell ref="B942:B943"/>
    <mergeCell ref="A944:A945"/>
    <mergeCell ref="B944:B945"/>
    <mergeCell ref="D942:D943"/>
    <mergeCell ref="F942:F943"/>
    <mergeCell ref="B964:B965"/>
    <mergeCell ref="D964:D965"/>
    <mergeCell ref="A964:A965"/>
    <mergeCell ref="G972:G973"/>
    <mergeCell ref="H970:H971"/>
    <mergeCell ref="A970:A971"/>
    <mergeCell ref="B970:B971"/>
    <mergeCell ref="D970:D971"/>
    <mergeCell ref="F970:F971"/>
    <mergeCell ref="D946:D947"/>
    <mergeCell ref="F946:F947"/>
    <mergeCell ref="D950:D951"/>
    <mergeCell ref="F950:F951"/>
    <mergeCell ref="B948:B949"/>
    <mergeCell ref="A948:A949"/>
    <mergeCell ref="F948:F949"/>
    <mergeCell ref="G966:G967"/>
    <mergeCell ref="H958:H959"/>
    <mergeCell ref="D956:D957"/>
    <mergeCell ref="F956:F957"/>
    <mergeCell ref="G956:G957"/>
    <mergeCell ref="H956:H957"/>
    <mergeCell ref="F958:F959"/>
    <mergeCell ref="H948:H949"/>
    <mergeCell ref="G958:G959"/>
    <mergeCell ref="D954:D955"/>
    <mergeCell ref="G946:G947"/>
    <mergeCell ref="H946:H947"/>
    <mergeCell ref="A953:H953"/>
    <mergeCell ref="A954:A955"/>
    <mergeCell ref="B954:B955"/>
    <mergeCell ref="A950:A951"/>
    <mergeCell ref="G976:G977"/>
    <mergeCell ref="H966:H967"/>
    <mergeCell ref="G968:G969"/>
    <mergeCell ref="F964:F965"/>
    <mergeCell ref="A980:A981"/>
    <mergeCell ref="A978:A979"/>
    <mergeCell ref="B982:B983"/>
    <mergeCell ref="G980:G981"/>
    <mergeCell ref="D974:D975"/>
    <mergeCell ref="F974:F975"/>
    <mergeCell ref="H960:H961"/>
    <mergeCell ref="G964:G965"/>
    <mergeCell ref="H964:H965"/>
    <mergeCell ref="G960:G961"/>
    <mergeCell ref="B968:B969"/>
    <mergeCell ref="A974:A975"/>
    <mergeCell ref="B974:B975"/>
    <mergeCell ref="A972:A973"/>
    <mergeCell ref="B972:B973"/>
    <mergeCell ref="D976:D977"/>
    <mergeCell ref="A962:A963"/>
    <mergeCell ref="B962:B963"/>
    <mergeCell ref="D962:D963"/>
    <mergeCell ref="F962:F963"/>
    <mergeCell ref="A966:A967"/>
    <mergeCell ref="B966:B967"/>
    <mergeCell ref="D966:D967"/>
    <mergeCell ref="F966:F967"/>
    <mergeCell ref="A960:A961"/>
    <mergeCell ref="B980:B981"/>
    <mergeCell ref="G962:G963"/>
    <mergeCell ref="H962:H963"/>
    <mergeCell ref="F990:F991"/>
    <mergeCell ref="F988:F989"/>
    <mergeCell ref="G990:G991"/>
    <mergeCell ref="G988:G989"/>
    <mergeCell ref="H968:H969"/>
    <mergeCell ref="D968:D969"/>
    <mergeCell ref="F968:F969"/>
    <mergeCell ref="A968:A969"/>
    <mergeCell ref="H978:H979"/>
    <mergeCell ref="H980:H981"/>
    <mergeCell ref="F978:F979"/>
    <mergeCell ref="G982:G983"/>
    <mergeCell ref="H982:H983"/>
    <mergeCell ref="G978:G979"/>
    <mergeCell ref="F980:F981"/>
    <mergeCell ref="B978:B979"/>
    <mergeCell ref="G970:G971"/>
    <mergeCell ref="A982:A983"/>
    <mergeCell ref="H972:H973"/>
    <mergeCell ref="G974:G975"/>
    <mergeCell ref="H974:H975"/>
    <mergeCell ref="D972:D973"/>
    <mergeCell ref="F972:F973"/>
    <mergeCell ref="A976:A977"/>
    <mergeCell ref="B976:B977"/>
    <mergeCell ref="A990:A991"/>
    <mergeCell ref="B990:B991"/>
    <mergeCell ref="D990:D991"/>
    <mergeCell ref="A984:A985"/>
    <mergeCell ref="B984:B985"/>
    <mergeCell ref="F976:F977"/>
    <mergeCell ref="H976:H977"/>
    <mergeCell ref="D984:D985"/>
    <mergeCell ref="A988:A989"/>
    <mergeCell ref="B988:B989"/>
    <mergeCell ref="D992:D993"/>
    <mergeCell ref="F992:F993"/>
    <mergeCell ref="G984:G985"/>
    <mergeCell ref="D978:D979"/>
    <mergeCell ref="D982:D983"/>
    <mergeCell ref="A987:H987"/>
    <mergeCell ref="A996:A997"/>
    <mergeCell ref="B996:B997"/>
    <mergeCell ref="A994:A995"/>
    <mergeCell ref="B994:B995"/>
    <mergeCell ref="G992:G993"/>
    <mergeCell ref="H992:H993"/>
    <mergeCell ref="G996:G997"/>
    <mergeCell ref="H996:H997"/>
    <mergeCell ref="D996:D997"/>
    <mergeCell ref="F996:F997"/>
    <mergeCell ref="A992:A993"/>
    <mergeCell ref="B992:B993"/>
    <mergeCell ref="D994:D995"/>
    <mergeCell ref="H990:H991"/>
    <mergeCell ref="H988:H989"/>
    <mergeCell ref="H984:H985"/>
    <mergeCell ref="D980:D981"/>
    <mergeCell ref="F982:F983"/>
    <mergeCell ref="F994:F995"/>
    <mergeCell ref="G994:G995"/>
    <mergeCell ref="H994:H995"/>
    <mergeCell ref="D988:D989"/>
    <mergeCell ref="F984:F985"/>
    <mergeCell ref="G998:G999"/>
    <mergeCell ref="H998:H999"/>
    <mergeCell ref="G1000:G1001"/>
    <mergeCell ref="H1000:H1001"/>
    <mergeCell ref="D998:D999"/>
    <mergeCell ref="F998:F999"/>
    <mergeCell ref="G1002:G1003"/>
    <mergeCell ref="H1002:H1003"/>
    <mergeCell ref="B1000:B1001"/>
    <mergeCell ref="D1000:D1001"/>
    <mergeCell ref="F1000:F1001"/>
    <mergeCell ref="H1004:H1005"/>
    <mergeCell ref="A998:A999"/>
    <mergeCell ref="B998:B999"/>
    <mergeCell ref="A1006:A1007"/>
    <mergeCell ref="B1006:B1007"/>
    <mergeCell ref="G1008:G1009"/>
    <mergeCell ref="H1010:H1011"/>
    <mergeCell ref="A1014:A1015"/>
    <mergeCell ref="B1014:B1015"/>
    <mergeCell ref="D1014:D1015"/>
    <mergeCell ref="A1010:A1011"/>
    <mergeCell ref="A1004:A1005"/>
    <mergeCell ref="B1004:B1005"/>
    <mergeCell ref="A1000:A1001"/>
    <mergeCell ref="H1008:H1009"/>
    <mergeCell ref="D1006:D1007"/>
    <mergeCell ref="F1006:F1007"/>
    <mergeCell ref="G1006:G1007"/>
    <mergeCell ref="H1006:H1007"/>
    <mergeCell ref="D1004:D1005"/>
    <mergeCell ref="F1004:F1005"/>
    <mergeCell ref="A1002:A1003"/>
    <mergeCell ref="B1002:B1003"/>
    <mergeCell ref="D1002:D1003"/>
    <mergeCell ref="F1002:F1003"/>
    <mergeCell ref="G1004:G1005"/>
    <mergeCell ref="H1022:H1023"/>
    <mergeCell ref="A1018:A1019"/>
    <mergeCell ref="B1018:B1019"/>
    <mergeCell ref="H1012:H1013"/>
    <mergeCell ref="H1018:H1019"/>
    <mergeCell ref="A1021:H1021"/>
    <mergeCell ref="A1022:A1023"/>
    <mergeCell ref="B1022:B1023"/>
    <mergeCell ref="D1022:D1023"/>
    <mergeCell ref="H1016:H1017"/>
    <mergeCell ref="H1014:H1015"/>
    <mergeCell ref="A1016:A1017"/>
    <mergeCell ref="B1016:B1017"/>
    <mergeCell ref="D1016:D1017"/>
    <mergeCell ref="F1016:F1017"/>
    <mergeCell ref="G1016:G1017"/>
    <mergeCell ref="F1014:F1015"/>
    <mergeCell ref="G1018:G1019"/>
    <mergeCell ref="F1012:F1013"/>
    <mergeCell ref="A1030:A1031"/>
    <mergeCell ref="B1028:B1029"/>
    <mergeCell ref="D1028:D1029"/>
    <mergeCell ref="F1028:F1029"/>
    <mergeCell ref="B1030:B1031"/>
    <mergeCell ref="D1030:D1031"/>
    <mergeCell ref="A1026:A1027"/>
    <mergeCell ref="B1026:B1027"/>
    <mergeCell ref="D1026:D1027"/>
    <mergeCell ref="F1026:F1027"/>
    <mergeCell ref="A1032:A1033"/>
    <mergeCell ref="F1022:F1023"/>
    <mergeCell ref="G1022:G1023"/>
    <mergeCell ref="D1008:D1009"/>
    <mergeCell ref="F1008:F1009"/>
    <mergeCell ref="G1012:G1013"/>
    <mergeCell ref="D1012:D1013"/>
    <mergeCell ref="D1018:D1019"/>
    <mergeCell ref="F1018:F1019"/>
    <mergeCell ref="B1010:B1011"/>
    <mergeCell ref="D1010:D1011"/>
    <mergeCell ref="B1012:B1013"/>
    <mergeCell ref="G1014:G1015"/>
    <mergeCell ref="A1008:A1009"/>
    <mergeCell ref="B1008:B1009"/>
    <mergeCell ref="A1012:A1013"/>
    <mergeCell ref="G1010:G1011"/>
    <mergeCell ref="F1010:F1011"/>
    <mergeCell ref="H1026:H1027"/>
    <mergeCell ref="D1032:D1033"/>
    <mergeCell ref="F1032:F1033"/>
    <mergeCell ref="G1028:G1029"/>
    <mergeCell ref="H1028:H1029"/>
    <mergeCell ref="G1030:G1031"/>
    <mergeCell ref="H1030:H1031"/>
    <mergeCell ref="H1034:H1035"/>
    <mergeCell ref="G1034:G1035"/>
    <mergeCell ref="F1034:F1035"/>
    <mergeCell ref="D1024:D1025"/>
    <mergeCell ref="G1032:G1033"/>
    <mergeCell ref="H1032:H1033"/>
    <mergeCell ref="H1024:H1025"/>
    <mergeCell ref="G1026:G1027"/>
    <mergeCell ref="G1024:G1025"/>
    <mergeCell ref="B1024:B1025"/>
    <mergeCell ref="B1032:B1033"/>
    <mergeCell ref="A1052:A1053"/>
    <mergeCell ref="B1052:B1053"/>
    <mergeCell ref="G1052:G1053"/>
    <mergeCell ref="H1052:H1053"/>
    <mergeCell ref="D1052:D1053"/>
    <mergeCell ref="F1052:F1053"/>
    <mergeCell ref="H1046:H1047"/>
    <mergeCell ref="A1034:A1035"/>
    <mergeCell ref="B1034:B1035"/>
    <mergeCell ref="D1034:D1035"/>
    <mergeCell ref="F1030:F1031"/>
    <mergeCell ref="A1028:A1029"/>
    <mergeCell ref="D1036:D1037"/>
    <mergeCell ref="F1036:F1037"/>
    <mergeCell ref="D1048:D1049"/>
    <mergeCell ref="F1048:F1049"/>
    <mergeCell ref="G1044:G1045"/>
    <mergeCell ref="H1044:H1045"/>
    <mergeCell ref="H1036:H1037"/>
    <mergeCell ref="A1040:A1041"/>
    <mergeCell ref="B1040:B1041"/>
    <mergeCell ref="D1040:D1041"/>
    <mergeCell ref="F1040:F1041"/>
    <mergeCell ref="G1038:G1039"/>
    <mergeCell ref="D1038:D1039"/>
    <mergeCell ref="F1038:F1039"/>
    <mergeCell ref="A1036:A1037"/>
    <mergeCell ref="B1036:B1037"/>
    <mergeCell ref="A1038:A1039"/>
    <mergeCell ref="H1038:H1039"/>
    <mergeCell ref="H1040:H1041"/>
    <mergeCell ref="B1038:B1039"/>
    <mergeCell ref="J28:K28"/>
    <mergeCell ref="J27:K27"/>
    <mergeCell ref="Q33:Q34"/>
    <mergeCell ref="A1042:A1043"/>
    <mergeCell ref="G1040:G1041"/>
    <mergeCell ref="B1042:B1043"/>
    <mergeCell ref="D1042:D1043"/>
    <mergeCell ref="F1042:F1043"/>
    <mergeCell ref="H1042:H1043"/>
    <mergeCell ref="G1042:G1043"/>
    <mergeCell ref="F1046:F1047"/>
    <mergeCell ref="G1046:G1047"/>
    <mergeCell ref="B1044:B1045"/>
    <mergeCell ref="D1044:D1045"/>
    <mergeCell ref="F1044:F1045"/>
    <mergeCell ref="A1050:A1051"/>
    <mergeCell ref="H1050:H1051"/>
    <mergeCell ref="B1050:B1051"/>
    <mergeCell ref="D1050:D1051"/>
    <mergeCell ref="F1050:F1051"/>
    <mergeCell ref="G1050:G1051"/>
    <mergeCell ref="A1046:A1047"/>
    <mergeCell ref="A1044:A1045"/>
    <mergeCell ref="H1048:H1049"/>
    <mergeCell ref="B1048:B1049"/>
    <mergeCell ref="A1048:A1049"/>
    <mergeCell ref="G1048:G1049"/>
    <mergeCell ref="B1046:B1047"/>
    <mergeCell ref="D1046:D1047"/>
    <mergeCell ref="A1024:A1025"/>
    <mergeCell ref="F1024:F1025"/>
    <mergeCell ref="G1036:G1037"/>
    <mergeCell ref="P33:P34"/>
    <mergeCell ref="O33:O34"/>
    <mergeCell ref="N33:N34"/>
    <mergeCell ref="J2:K2"/>
    <mergeCell ref="J3:K3"/>
    <mergeCell ref="J4:K4"/>
    <mergeCell ref="J5:K5"/>
    <mergeCell ref="J6:K6"/>
    <mergeCell ref="J7:K7"/>
    <mergeCell ref="J8:K8"/>
    <mergeCell ref="J9:K9"/>
    <mergeCell ref="J10:K10"/>
    <mergeCell ref="J11:K11"/>
    <mergeCell ref="J12:K12"/>
    <mergeCell ref="J13:K13"/>
    <mergeCell ref="J14:K14"/>
    <mergeCell ref="J15:K15"/>
    <mergeCell ref="J16:K16"/>
    <mergeCell ref="J17:K17"/>
    <mergeCell ref="J18:K18"/>
    <mergeCell ref="J26:K26"/>
    <mergeCell ref="J25:K25"/>
    <mergeCell ref="J24:K24"/>
    <mergeCell ref="J23:K23"/>
    <mergeCell ref="J19:K19"/>
    <mergeCell ref="J21:K21"/>
    <mergeCell ref="J20:K20"/>
    <mergeCell ref="J22:K22"/>
    <mergeCell ref="J32:K32"/>
    <mergeCell ref="J31:K31"/>
    <mergeCell ref="J30:K30"/>
    <mergeCell ref="J29:K29"/>
  </mergeCells>
  <phoneticPr fontId="48" type="noConversion"/>
  <conditionalFormatting sqref="J2:K32">
    <cfRule type="expression" dxfId="97" priority="114">
      <formula>WEEKDAY(J2:K32,2)&gt;5</formula>
    </cfRule>
  </conditionalFormatting>
  <conditionalFormatting sqref="A1:H34">
    <cfRule type="expression" dxfId="96" priority="100">
      <formula>WEEKDAY($A$1,2)&gt;5</formula>
    </cfRule>
  </conditionalFormatting>
  <conditionalFormatting sqref="A35:H68">
    <cfRule type="expression" dxfId="95" priority="99">
      <formula>WEEKDAY($A$35,2)&gt;5</formula>
    </cfRule>
  </conditionalFormatting>
  <conditionalFormatting sqref="A69:H102">
    <cfRule type="expression" dxfId="94" priority="98">
      <formula>WEEKDAY($A$69,2)&gt;5</formula>
    </cfRule>
  </conditionalFormatting>
  <conditionalFormatting sqref="A103:H136">
    <cfRule type="expression" dxfId="93" priority="97">
      <formula>WEEKDAY($A$103,2)&gt;5</formula>
    </cfRule>
  </conditionalFormatting>
  <conditionalFormatting sqref="A137:H170">
    <cfRule type="expression" dxfId="92" priority="96">
      <formula>WEEKDAY($A$137,2)&gt;5</formula>
    </cfRule>
  </conditionalFormatting>
  <conditionalFormatting sqref="A171:H204">
    <cfRule type="expression" dxfId="91" priority="95">
      <formula>WEEKDAY($A$171,2)&gt;5</formula>
    </cfRule>
  </conditionalFormatting>
  <conditionalFormatting sqref="A205:H238">
    <cfRule type="expression" dxfId="90" priority="94">
      <formula>WEEKDAY($A$205,2)&gt;5</formula>
    </cfRule>
  </conditionalFormatting>
  <conditionalFormatting sqref="A239:H272">
    <cfRule type="expression" dxfId="89" priority="93">
      <formula>WEEKDAY($A$239,2)&gt;5</formula>
    </cfRule>
  </conditionalFormatting>
  <conditionalFormatting sqref="A273:H306">
    <cfRule type="expression" dxfId="88" priority="92">
      <formula>WEEKDAY($A$273,2)&gt;5</formula>
    </cfRule>
  </conditionalFormatting>
  <conditionalFormatting sqref="A307:H340">
    <cfRule type="expression" dxfId="87" priority="91">
      <formula>WEEKDAY($A$307,2)&gt;5</formula>
    </cfRule>
  </conditionalFormatting>
  <conditionalFormatting sqref="A341:H374">
    <cfRule type="expression" dxfId="86" priority="90">
      <formula>WEEKDAY($A$341,2)&gt;5</formula>
    </cfRule>
  </conditionalFormatting>
  <conditionalFormatting sqref="A375:H408">
    <cfRule type="expression" dxfId="85" priority="89">
      <formula>WEEKDAY($A$375,2)&gt;5</formula>
    </cfRule>
  </conditionalFormatting>
  <conditionalFormatting sqref="A409:H442">
    <cfRule type="expression" dxfId="84" priority="88">
      <formula>WEEKDAY($A$409,2)&gt;5</formula>
    </cfRule>
  </conditionalFormatting>
  <conditionalFormatting sqref="A443:H476">
    <cfRule type="expression" dxfId="83" priority="87">
      <formula>WEEKDAY($A$443,2)&gt;5</formula>
    </cfRule>
  </conditionalFormatting>
  <conditionalFormatting sqref="A477:H510">
    <cfRule type="expression" dxfId="82" priority="86">
      <formula>WEEKDAY($A$477,2)&gt;5</formula>
    </cfRule>
  </conditionalFormatting>
  <conditionalFormatting sqref="A511:H544">
    <cfRule type="expression" dxfId="81" priority="85">
      <formula>WEEKDAY($A$511,2)&gt;5</formula>
    </cfRule>
  </conditionalFormatting>
  <conditionalFormatting sqref="A545:H578">
    <cfRule type="expression" dxfId="80" priority="84">
      <formula>WEEKDAY($A$545,2)&gt;5</formula>
    </cfRule>
  </conditionalFormatting>
  <conditionalFormatting sqref="A579:H612">
    <cfRule type="expression" dxfId="79" priority="83">
      <formula>WEEKDAY($A$579,2)&gt;5</formula>
    </cfRule>
  </conditionalFormatting>
  <conditionalFormatting sqref="A613:H646">
    <cfRule type="expression" dxfId="78" priority="82">
      <formula>WEEKDAY($A$613,2)&gt;5</formula>
    </cfRule>
  </conditionalFormatting>
  <conditionalFormatting sqref="A647:H680">
    <cfRule type="expression" dxfId="77" priority="81">
      <formula>WEEKDAY($A$647,2)&gt;5</formula>
    </cfRule>
  </conditionalFormatting>
  <conditionalFormatting sqref="A681:H714">
    <cfRule type="expression" dxfId="76" priority="80">
      <formula>WEEKDAY($A$681,2)&gt;5</formula>
    </cfRule>
  </conditionalFormatting>
  <conditionalFormatting sqref="A715:H748">
    <cfRule type="expression" dxfId="75" priority="79">
      <formula>WEEKDAY($A$715,2)&gt;5</formula>
    </cfRule>
  </conditionalFormatting>
  <conditionalFormatting sqref="A749:H782">
    <cfRule type="expression" dxfId="74" priority="78">
      <formula>WEEKDAY($A$749,2)&gt;5</formula>
    </cfRule>
  </conditionalFormatting>
  <conditionalFormatting sqref="A783:H816">
    <cfRule type="expression" dxfId="73" priority="77">
      <formula>WEEKDAY($A$783,2)&gt;5</formula>
    </cfRule>
  </conditionalFormatting>
  <conditionalFormatting sqref="A817:H850">
    <cfRule type="expression" dxfId="72" priority="76">
      <formula>WEEKDAY($A$817,2)&gt;5</formula>
    </cfRule>
  </conditionalFormatting>
  <conditionalFormatting sqref="A851:H884">
    <cfRule type="expression" dxfId="71" priority="75">
      <formula>WEEKDAY($A$851,2)&gt;5</formula>
    </cfRule>
  </conditionalFormatting>
  <conditionalFormatting sqref="A885:H918">
    <cfRule type="expression" dxfId="70" priority="74">
      <formula>WEEKDAY($A$885,2)&gt;5</formula>
    </cfRule>
  </conditionalFormatting>
  <conditionalFormatting sqref="A919:H952">
    <cfRule type="expression" dxfId="69" priority="73">
      <formula>WEEKDAY($A$919,2)&gt;5</formula>
    </cfRule>
  </conditionalFormatting>
  <conditionalFormatting sqref="A953:H986">
    <cfRule type="expression" dxfId="68" priority="38">
      <formula>WEEKDAY($A$953,2)&gt;5</formula>
    </cfRule>
    <cfRule type="expression" dxfId="67" priority="41">
      <formula>NOT(MONTH($A$953)=DAY($J$1))</formula>
    </cfRule>
  </conditionalFormatting>
  <conditionalFormatting sqref="A987:H1020">
    <cfRule type="expression" dxfId="66" priority="40">
      <formula>WEEKDAY($A$987,2)&gt;5</formula>
    </cfRule>
    <cfRule type="expression" dxfId="65" priority="71">
      <formula>NOT(MONTH($A$987)=DAY($J$1))</formula>
    </cfRule>
  </conditionalFormatting>
  <conditionalFormatting sqref="A1021:H1054">
    <cfRule type="expression" dxfId="64" priority="39">
      <formula>WEEKDAY($A$1021,2)&gt;5</formula>
    </cfRule>
    <cfRule type="expression" dxfId="63" priority="70">
      <formula>NOT(MONTH($A$1021)=DAY($J$1))</formula>
    </cfRule>
  </conditionalFormatting>
  <conditionalFormatting sqref="I35:I68">
    <cfRule type="expression" dxfId="62" priority="32">
      <formula>$A$35=TODAY()</formula>
    </cfRule>
  </conditionalFormatting>
  <conditionalFormatting sqref="I69:I102">
    <cfRule type="expression" dxfId="61" priority="31">
      <formula>$A$69=TODAY()</formula>
    </cfRule>
  </conditionalFormatting>
  <conditionalFormatting sqref="I1:I34">
    <cfRule type="expression" dxfId="60" priority="30">
      <formula>$A$1=TODAY()</formula>
    </cfRule>
  </conditionalFormatting>
  <conditionalFormatting sqref="I103:I136">
    <cfRule type="expression" dxfId="59" priority="29">
      <formula>$A$103=TODAY()</formula>
    </cfRule>
  </conditionalFormatting>
  <conditionalFormatting sqref="I137:I170">
    <cfRule type="expression" dxfId="58" priority="28">
      <formula>$A$137=TODAY()</formula>
    </cfRule>
  </conditionalFormatting>
  <conditionalFormatting sqref="I171:I204">
    <cfRule type="expression" dxfId="57" priority="27">
      <formula>$A$171=TODAY()</formula>
    </cfRule>
  </conditionalFormatting>
  <conditionalFormatting sqref="I205:I238">
    <cfRule type="expression" dxfId="56" priority="26">
      <formula>$A$205=TODAY()</formula>
    </cfRule>
  </conditionalFormatting>
  <conditionalFormatting sqref="I239:I272">
    <cfRule type="expression" dxfId="55" priority="25">
      <formula>$A$239=TODAY()</formula>
    </cfRule>
  </conditionalFormatting>
  <conditionalFormatting sqref="I273:I306">
    <cfRule type="expression" dxfId="54" priority="24">
      <formula>$A$273=TODAY()</formula>
    </cfRule>
  </conditionalFormatting>
  <conditionalFormatting sqref="I307:I340">
    <cfRule type="expression" dxfId="53" priority="23">
      <formula>$A$307=TODAY()</formula>
    </cfRule>
  </conditionalFormatting>
  <conditionalFormatting sqref="I341:I374">
    <cfRule type="expression" dxfId="52" priority="22">
      <formula>$A$341=TODAY()</formula>
    </cfRule>
  </conditionalFormatting>
  <conditionalFormatting sqref="I375:I408">
    <cfRule type="expression" dxfId="51" priority="21">
      <formula>$A$375=TODAY()</formula>
    </cfRule>
  </conditionalFormatting>
  <conditionalFormatting sqref="I409:I442">
    <cfRule type="expression" dxfId="50" priority="20">
      <formula>$A$409=TODAY()</formula>
    </cfRule>
  </conditionalFormatting>
  <conditionalFormatting sqref="I443:I476">
    <cfRule type="expression" dxfId="49" priority="19">
      <formula>$A$443=TODAY()</formula>
    </cfRule>
  </conditionalFormatting>
  <conditionalFormatting sqref="I477:I510">
    <cfRule type="expression" dxfId="48" priority="18">
      <formula>$A$477=TODAY()</formula>
    </cfRule>
  </conditionalFormatting>
  <conditionalFormatting sqref="I511:I544">
    <cfRule type="expression" dxfId="47" priority="17">
      <formula>$A$511=TODAY()</formula>
    </cfRule>
  </conditionalFormatting>
  <conditionalFormatting sqref="I545:I578">
    <cfRule type="expression" dxfId="46" priority="16">
      <formula>$A$545=TODAY()</formula>
    </cfRule>
  </conditionalFormatting>
  <conditionalFormatting sqref="I579:I612">
    <cfRule type="expression" dxfId="45" priority="15">
      <formula>$A$579=TODAY()</formula>
    </cfRule>
  </conditionalFormatting>
  <conditionalFormatting sqref="I613:I646">
    <cfRule type="expression" dxfId="44" priority="14">
      <formula>$A$613=TODAY()</formula>
    </cfRule>
  </conditionalFormatting>
  <conditionalFormatting sqref="I647:I680">
    <cfRule type="expression" dxfId="43" priority="13">
      <formula>$A$647=TODAY()</formula>
    </cfRule>
  </conditionalFormatting>
  <conditionalFormatting sqref="I681:I714">
    <cfRule type="expression" dxfId="42" priority="11">
      <formula>$A$681=TODAY()</formula>
    </cfRule>
  </conditionalFormatting>
  <conditionalFormatting sqref="I715:I748">
    <cfRule type="expression" dxfId="41" priority="10">
      <formula>$A$715=TODAY()</formula>
    </cfRule>
  </conditionalFormatting>
  <conditionalFormatting sqref="I749:I782">
    <cfRule type="expression" dxfId="40" priority="9">
      <formula>$A$749=TODAY()</formula>
    </cfRule>
  </conditionalFormatting>
  <conditionalFormatting sqref="I783:I816">
    <cfRule type="expression" dxfId="39" priority="8">
      <formula>$A$783=TODAY()</formula>
    </cfRule>
  </conditionalFormatting>
  <conditionalFormatting sqref="I817:I850">
    <cfRule type="expression" dxfId="38" priority="7">
      <formula>$A$817=TODAY()</formula>
    </cfRule>
  </conditionalFormatting>
  <conditionalFormatting sqref="I851:I884">
    <cfRule type="expression" dxfId="37" priority="6">
      <formula>$A$851=TODAY()</formula>
    </cfRule>
  </conditionalFormatting>
  <conditionalFormatting sqref="I885:I918">
    <cfRule type="expression" dxfId="36" priority="5">
      <formula>$A$885=TODAY()</formula>
    </cfRule>
  </conditionalFormatting>
  <conditionalFormatting sqref="I919:I952">
    <cfRule type="expression" dxfId="35" priority="4">
      <formula>$A$919=TODAY()</formula>
    </cfRule>
  </conditionalFormatting>
  <conditionalFormatting sqref="I953:I986">
    <cfRule type="expression" dxfId="34" priority="3">
      <formula>$A$953=TODAY()</formula>
    </cfRule>
  </conditionalFormatting>
  <conditionalFormatting sqref="I987:I1020">
    <cfRule type="expression" dxfId="33" priority="2">
      <formula>$A$987=TODAY()</formula>
    </cfRule>
  </conditionalFormatting>
  <conditionalFormatting sqref="I1021:I1054">
    <cfRule type="expression" dxfId="32" priority="1">
      <formula>$A$1021=TODAY()</formula>
    </cfRule>
  </conditionalFormatting>
  <dataValidations count="1">
    <dataValidation allowBlank="1" sqref="H18:H19 B952" xr:uid="{00000000-0002-0000-0200-000000000000}"/>
  </dataValidations>
  <pageMargins left="0.75" right="0.75" top="1" bottom="1" header="0.5" footer="0.5"/>
  <pageSetup paperSize="9" orientation="landscape" horizontalDpi="300" verticalDpi="300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13" id="{3BD30A9E-23D3-44B9-B160-32D9B620E394}">
            <xm:f>COUNTIF(Списки!$D$2:$D$17,J2:K32)&gt;0</xm:f>
            <x14:dxf>
              <font>
                <color theme="0" tint="-0.34998626667073579"/>
              </font>
            </x14:dxf>
          </x14:cfRule>
          <xm:sqref>J2:K32</xm:sqref>
        </x14:conditionalFormatting>
        <x14:conditionalFormatting xmlns:xm="http://schemas.microsoft.com/office/excel/2006/main">
          <x14:cfRule type="expression" priority="69" id="{58AB672F-D3C1-4E7B-AB4D-87155F6F4BE6}">
            <xm:f>COUNTIF(Списки!$D$2:$D$17,$A$1)&gt;0</xm:f>
            <x14:dxf>
              <font>
                <color theme="0" tint="-0.34998626667073579"/>
              </font>
            </x14:dxf>
          </x14:cfRule>
          <xm:sqref>A1:H34</xm:sqref>
        </x14:conditionalFormatting>
        <x14:conditionalFormatting xmlns:xm="http://schemas.microsoft.com/office/excel/2006/main">
          <x14:cfRule type="expression" priority="68" id="{EFC490B7-7609-4282-A9B4-2190E908BCD3}">
            <xm:f>COUNTIF(Списки!$D$2:$D$17,$A$35)&gt;0</xm:f>
            <x14:dxf>
              <font>
                <color theme="0" tint="-0.34998626667073579"/>
              </font>
            </x14:dxf>
          </x14:cfRule>
          <xm:sqref>A35:H68</xm:sqref>
        </x14:conditionalFormatting>
        <x14:conditionalFormatting xmlns:xm="http://schemas.microsoft.com/office/excel/2006/main">
          <x14:cfRule type="expression" priority="67" id="{58095247-7F1C-4D89-AE72-4C93F0721737}">
            <xm:f>COUNTIF(Списки!$D$2:$D$17,$A$69)&gt;0</xm:f>
            <x14:dxf>
              <font>
                <color theme="0" tint="-0.34998626667073579"/>
              </font>
            </x14:dxf>
          </x14:cfRule>
          <xm:sqref>A69:H102</xm:sqref>
        </x14:conditionalFormatting>
        <x14:conditionalFormatting xmlns:xm="http://schemas.microsoft.com/office/excel/2006/main">
          <x14:cfRule type="expression" priority="66" id="{18069C54-82BE-4102-861F-033765F07871}">
            <xm:f>COUNTIF(Списки!$D$2:$D$17,$A$103)&gt;0</xm:f>
            <x14:dxf>
              <font>
                <color theme="0" tint="-0.34998626667073579"/>
              </font>
            </x14:dxf>
          </x14:cfRule>
          <xm:sqref>A103:H136</xm:sqref>
        </x14:conditionalFormatting>
        <x14:conditionalFormatting xmlns:xm="http://schemas.microsoft.com/office/excel/2006/main">
          <x14:cfRule type="expression" priority="65" id="{1E146145-CF0F-413F-B7DC-BCDB45F8F2A6}">
            <xm:f>COUNTIF(Списки!$D$2:$D$17,$A$137)&gt;0</xm:f>
            <x14:dxf>
              <font>
                <color theme="0" tint="-0.34998626667073579"/>
              </font>
            </x14:dxf>
          </x14:cfRule>
          <xm:sqref>A137:H170</xm:sqref>
        </x14:conditionalFormatting>
        <x14:conditionalFormatting xmlns:xm="http://schemas.microsoft.com/office/excel/2006/main">
          <x14:cfRule type="expression" priority="64" id="{4C27BE9C-66FB-4702-B852-E6E4EF746BC4}">
            <xm:f>COUNTIF(Списки!$D$2:$D$17,$A$171)&gt;0</xm:f>
            <x14:dxf>
              <font>
                <color theme="0" tint="-0.34998626667073579"/>
              </font>
            </x14:dxf>
          </x14:cfRule>
          <xm:sqref>A171:H204</xm:sqref>
        </x14:conditionalFormatting>
        <x14:conditionalFormatting xmlns:xm="http://schemas.microsoft.com/office/excel/2006/main">
          <x14:cfRule type="expression" priority="63" id="{3F65B067-5431-4426-956F-8C6D2C71D714}">
            <xm:f>COUNTIF(Списки!$D$2:$D$17,$A$205)&gt;0</xm:f>
            <x14:dxf>
              <font>
                <color theme="0" tint="-0.34998626667073579"/>
              </font>
            </x14:dxf>
          </x14:cfRule>
          <xm:sqref>A205:H238</xm:sqref>
        </x14:conditionalFormatting>
        <x14:conditionalFormatting xmlns:xm="http://schemas.microsoft.com/office/excel/2006/main">
          <x14:cfRule type="expression" priority="62" id="{F4E83EAE-9FB7-4DE3-A9DF-21BBC2284150}">
            <xm:f>COUNTIF(Списки!$D$2:$D$17,$A$239)&gt;0</xm:f>
            <x14:dxf>
              <font>
                <color theme="0" tint="-0.34998626667073579"/>
              </font>
            </x14:dxf>
          </x14:cfRule>
          <xm:sqref>A239:H272</xm:sqref>
        </x14:conditionalFormatting>
        <x14:conditionalFormatting xmlns:xm="http://schemas.microsoft.com/office/excel/2006/main">
          <x14:cfRule type="expression" priority="61" id="{0526A8E9-3FBD-4668-BB0E-EFC6F5E2FD81}">
            <xm:f>COUNTIF(Списки!$D$2:$D$17,$A$273)&gt;0</xm:f>
            <x14:dxf>
              <font>
                <color theme="0" tint="-0.34998626667073579"/>
              </font>
            </x14:dxf>
          </x14:cfRule>
          <xm:sqref>A273:H306</xm:sqref>
        </x14:conditionalFormatting>
        <x14:conditionalFormatting xmlns:xm="http://schemas.microsoft.com/office/excel/2006/main">
          <x14:cfRule type="expression" priority="60" id="{B787CBC9-5FC8-4CEF-8C87-DB6F92A40EA2}">
            <xm:f>COUNTIF(Списки!$D$2:$D$17,$A$307)&gt;0</xm:f>
            <x14:dxf>
              <font>
                <color theme="0" tint="-0.34998626667073579"/>
              </font>
            </x14:dxf>
          </x14:cfRule>
          <xm:sqref>A307:H340</xm:sqref>
        </x14:conditionalFormatting>
        <x14:conditionalFormatting xmlns:xm="http://schemas.microsoft.com/office/excel/2006/main">
          <x14:cfRule type="expression" priority="59" id="{8B142DAB-D7DF-4B53-80EC-65578FBBA789}">
            <xm:f>COUNTIF(Списки!$D$2:$D$17,$A$341)&gt;0</xm:f>
            <x14:dxf>
              <font>
                <color theme="0" tint="-0.34998626667073579"/>
              </font>
            </x14:dxf>
          </x14:cfRule>
          <xm:sqref>A341:H374</xm:sqref>
        </x14:conditionalFormatting>
        <x14:conditionalFormatting xmlns:xm="http://schemas.microsoft.com/office/excel/2006/main">
          <x14:cfRule type="expression" priority="58" id="{CDC56C7E-12F9-466C-ACEA-2664BF3C8AFF}">
            <xm:f>COUNTIF(Списки!$D$2:$D$17,$A$375)&gt;0</xm:f>
            <x14:dxf>
              <font>
                <color theme="0" tint="-0.34998626667073579"/>
              </font>
            </x14:dxf>
          </x14:cfRule>
          <xm:sqref>A375:H408</xm:sqref>
        </x14:conditionalFormatting>
        <x14:conditionalFormatting xmlns:xm="http://schemas.microsoft.com/office/excel/2006/main">
          <x14:cfRule type="expression" priority="57" id="{16168C92-3735-4DE7-9227-EC7664376F37}">
            <xm:f>COUNTIF(Списки!$D$2:$D$17,$A$409)&gt;0</xm:f>
            <x14:dxf>
              <font>
                <color theme="0" tint="-0.34998626667073579"/>
              </font>
            </x14:dxf>
          </x14:cfRule>
          <xm:sqref>A409:H442</xm:sqref>
        </x14:conditionalFormatting>
        <x14:conditionalFormatting xmlns:xm="http://schemas.microsoft.com/office/excel/2006/main">
          <x14:cfRule type="expression" priority="56" id="{A97F0BF4-CC1C-4249-B77D-BCAFDBD764B6}">
            <xm:f>COUNTIF(Списки!$D$2:$D$17,)&gt;0</xm:f>
            <x14:dxf>
              <font>
                <color theme="0" tint="-0.34998626667073579"/>
              </font>
            </x14:dxf>
          </x14:cfRule>
          <xm:sqref>A443:H476</xm:sqref>
        </x14:conditionalFormatting>
        <x14:conditionalFormatting xmlns:xm="http://schemas.microsoft.com/office/excel/2006/main">
          <x14:cfRule type="expression" priority="55" id="{82CB5D8C-5BD1-4DF2-B43A-38A89555BB37}">
            <xm:f>COUNTIF(Списки!$D$2:$D$17,$A$477)&gt;0</xm:f>
            <x14:dxf>
              <font>
                <color theme="0" tint="-0.34998626667073579"/>
              </font>
            </x14:dxf>
          </x14:cfRule>
          <xm:sqref>A477:H510</xm:sqref>
        </x14:conditionalFormatting>
        <x14:conditionalFormatting xmlns:xm="http://schemas.microsoft.com/office/excel/2006/main">
          <x14:cfRule type="expression" priority="54" id="{ED123490-E34E-4BDB-83F5-19B74E6C960D}">
            <xm:f>COUNTIF(Списки!$D$2:$D$17,$A$511)&gt;0</xm:f>
            <x14:dxf>
              <font>
                <color theme="0" tint="-0.34998626667073579"/>
              </font>
            </x14:dxf>
          </x14:cfRule>
          <xm:sqref>A511:H544</xm:sqref>
        </x14:conditionalFormatting>
        <x14:conditionalFormatting xmlns:xm="http://schemas.microsoft.com/office/excel/2006/main">
          <x14:cfRule type="expression" priority="53" id="{3C6848E9-F4B1-433B-AC00-A11431D2468E}">
            <xm:f>COUNTIF(Списки!$D$2:$D$17,$A$545)&gt;0</xm:f>
            <x14:dxf>
              <font>
                <color theme="0" tint="-0.34998626667073579"/>
              </font>
            </x14:dxf>
          </x14:cfRule>
          <xm:sqref>A545:H578</xm:sqref>
        </x14:conditionalFormatting>
        <x14:conditionalFormatting xmlns:xm="http://schemas.microsoft.com/office/excel/2006/main">
          <x14:cfRule type="expression" priority="52" id="{292565AA-64BA-402E-88F4-DC635DDA3642}">
            <xm:f>COUNTIF(Списки!$D$2:$D$17,$A$579)&gt;0</xm:f>
            <x14:dxf>
              <font>
                <color theme="0" tint="-0.34998626667073579"/>
              </font>
            </x14:dxf>
          </x14:cfRule>
          <xm:sqref>A579:H612</xm:sqref>
        </x14:conditionalFormatting>
        <x14:conditionalFormatting xmlns:xm="http://schemas.microsoft.com/office/excel/2006/main">
          <x14:cfRule type="expression" priority="51" id="{BBAB7E35-F568-4267-BA4F-9E1AFC5D4372}">
            <xm:f>COUNTIF(Списки!$D$2:$D$17,$A$613)&gt;0</xm:f>
            <x14:dxf>
              <font>
                <color theme="0" tint="-0.34998626667073579"/>
              </font>
            </x14:dxf>
          </x14:cfRule>
          <xm:sqref>A613:H646</xm:sqref>
        </x14:conditionalFormatting>
        <x14:conditionalFormatting xmlns:xm="http://schemas.microsoft.com/office/excel/2006/main">
          <x14:cfRule type="expression" priority="50" id="{83533BF9-9C39-48A3-B9C8-BC438698B5B6}">
            <xm:f>COUNTIF(Списки!$D$2:$D$17,$A$647)&gt;0</xm:f>
            <x14:dxf>
              <font>
                <color theme="0" tint="-0.34998626667073579"/>
              </font>
            </x14:dxf>
          </x14:cfRule>
          <xm:sqref>A647:H680</xm:sqref>
        </x14:conditionalFormatting>
        <x14:conditionalFormatting xmlns:xm="http://schemas.microsoft.com/office/excel/2006/main">
          <x14:cfRule type="expression" priority="49" id="{A4DD8274-CA7C-4019-8E66-150C6FE6DBA4}">
            <xm:f>COUNTIF(Списки!$D$2:$D$17,$A$681)&gt;0</xm:f>
            <x14:dxf>
              <font>
                <color theme="0" tint="-0.34998626667073579"/>
              </font>
            </x14:dxf>
          </x14:cfRule>
          <xm:sqref>A681:H714</xm:sqref>
        </x14:conditionalFormatting>
        <x14:conditionalFormatting xmlns:xm="http://schemas.microsoft.com/office/excel/2006/main">
          <x14:cfRule type="expression" priority="48" id="{954B0D5B-F93C-4FC8-B0F9-5E09F36FF51F}">
            <xm:f>COUNTIF(Списки!$D$2:$D$17,$A$715)&gt;0</xm:f>
            <x14:dxf>
              <font>
                <color theme="0" tint="-0.34998626667073579"/>
              </font>
            </x14:dxf>
          </x14:cfRule>
          <xm:sqref>A715:H748</xm:sqref>
        </x14:conditionalFormatting>
        <x14:conditionalFormatting xmlns:xm="http://schemas.microsoft.com/office/excel/2006/main">
          <x14:cfRule type="expression" priority="47" id="{F4A94D6A-707B-4369-936A-CA3A7FB6E2D7}">
            <xm:f>COUNTIF(Списки!$D$2:$D$17,$A$749)&gt;0</xm:f>
            <x14:dxf>
              <font>
                <color theme="0" tint="-0.34998626667073579"/>
              </font>
            </x14:dxf>
          </x14:cfRule>
          <xm:sqref>A749:H782</xm:sqref>
        </x14:conditionalFormatting>
        <x14:conditionalFormatting xmlns:xm="http://schemas.microsoft.com/office/excel/2006/main">
          <x14:cfRule type="expression" priority="46" id="{8130CD82-EB8B-40EC-ABDC-1156289E6ACD}">
            <xm:f>COUNTIF(Списки!$D$2:$D$17,$A$783)&gt;0</xm:f>
            <x14:dxf>
              <font>
                <color theme="0" tint="-0.34998626667073579"/>
              </font>
            </x14:dxf>
          </x14:cfRule>
          <xm:sqref>A783:H816</xm:sqref>
        </x14:conditionalFormatting>
        <x14:conditionalFormatting xmlns:xm="http://schemas.microsoft.com/office/excel/2006/main">
          <x14:cfRule type="expression" priority="45" id="{F14FDEB3-EB7F-42E2-A55E-63DF5762976C}">
            <xm:f>COUNTIF(Списки!$D$2:$D$17,$A$817)&gt;0</xm:f>
            <x14:dxf>
              <font>
                <color theme="0" tint="-0.34998626667073579"/>
              </font>
            </x14:dxf>
          </x14:cfRule>
          <xm:sqref>A817:H850</xm:sqref>
        </x14:conditionalFormatting>
        <x14:conditionalFormatting xmlns:xm="http://schemas.microsoft.com/office/excel/2006/main">
          <x14:cfRule type="expression" priority="44" id="{ED28E6C2-E600-4D8C-B4DF-1E03D9784513}">
            <xm:f>COUNTIF(Списки!$D$2:$D$17,$A$851)&gt;0</xm:f>
            <x14:dxf>
              <font>
                <color theme="0" tint="-0.34998626667073579"/>
              </font>
            </x14:dxf>
          </x14:cfRule>
          <xm:sqref>A851:H884</xm:sqref>
        </x14:conditionalFormatting>
        <x14:conditionalFormatting xmlns:xm="http://schemas.microsoft.com/office/excel/2006/main">
          <x14:cfRule type="expression" priority="43" id="{3047083F-55B1-43A3-B351-40FC220C76A3}">
            <xm:f>COUNTIF(Списки!$D$2:$D$17,$A$885)&gt;0</xm:f>
            <x14:dxf>
              <font>
                <color theme="0" tint="-0.34998626667073579"/>
              </font>
            </x14:dxf>
          </x14:cfRule>
          <xm:sqref>A885:H918</xm:sqref>
        </x14:conditionalFormatting>
        <x14:conditionalFormatting xmlns:xm="http://schemas.microsoft.com/office/excel/2006/main">
          <x14:cfRule type="expression" priority="42" id="{71739C3E-99F9-4395-9E9F-C804E22CEDAE}">
            <xm:f>COUNTIF(Списки!$D$2:$D$17,$A$919)&gt;0</xm:f>
            <x14:dxf>
              <font>
                <color theme="0" tint="-0.34998626667073579"/>
              </font>
            </x14:dxf>
          </x14:cfRule>
          <xm:sqref>A919:H952</xm:sqref>
        </x14:conditionalFormatting>
        <x14:conditionalFormatting xmlns:xm="http://schemas.microsoft.com/office/excel/2006/main">
          <x14:cfRule type="expression" priority="35" id="{F4F782CD-A419-40B5-9D8D-E6B0C1AF0660}">
            <xm:f>COUNTIF(Списки!$D$2:$D$17,$A$953)&gt;0</xm:f>
            <x14:dxf>
              <font>
                <color theme="0" tint="-0.34998626667073579"/>
              </font>
            </x14:dxf>
          </x14:cfRule>
          <xm:sqref>A953:H986</xm:sqref>
        </x14:conditionalFormatting>
        <x14:conditionalFormatting xmlns:xm="http://schemas.microsoft.com/office/excel/2006/main">
          <x14:cfRule type="expression" priority="36" id="{90E521AB-12F8-4FF6-BD37-88CCC3D10BB1}">
            <xm:f>COUNTIF(Списки!$D$2:$D$17,$A$987)&gt;0</xm:f>
            <x14:dxf>
              <font>
                <color theme="0" tint="-0.34998626667073579"/>
              </font>
            </x14:dxf>
          </x14:cfRule>
          <xm:sqref>A987:H1020</xm:sqref>
        </x14:conditionalFormatting>
        <x14:conditionalFormatting xmlns:xm="http://schemas.microsoft.com/office/excel/2006/main">
          <x14:cfRule type="expression" priority="37" id="{3FF06E55-CFE3-4A49-A0E2-3A5F7170BEEA}">
            <xm:f>COUNTIF(Списки!$D$2:$D$17,$A$1021)&gt;0</xm:f>
            <x14:dxf>
              <font>
                <color theme="0" tint="-0.34998626667073579"/>
              </font>
            </x14:dxf>
          </x14:cfRule>
          <xm:sqref>A1021:H1054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promptTitle="Имена" prompt="Развернуть Alt + ⇩" xr:uid="{00000000-0002-0000-0200-000001000000}">
          <x14:formula1>
            <xm:f>Списки!$A$1:$A$21</xm:f>
          </x14:formula1>
          <xm:sqref>B4:B33 B38:B67 B72:B101 B106:B135 B140:B169 B174:B203 B208:B237 B242:B271 B276:B305 B310:B339 B344:B373 B378:B407 B412:B441 B446:B475 B480:B509 B514:B543 B548:B577 B582:B611 B616:B645 B650:B679 B684:B713 B718:B747 B752:B781 B786:B815 B820:B849 B854:B883 B888:B917 B922:B951 B956:B985 B990:B1019 B1024:B1053</xm:sqref>
        </x14:dataValidation>
        <x14:dataValidation type="list" allowBlank="1" showInputMessage="1" promptTitle="Дела" prompt="Развернуть Alt + ⇩" xr:uid="{00000000-0002-0000-0200-000002000000}">
          <x14:formula1>
            <xm:f>Списки!$B$1:$B$21</xm:f>
          </x14:formula1>
          <xm:sqref>G4:G33 G1024:G1053 G990:G1019 G956:G985 G922:G951 G888:G917 G854:G883 G820:G849 G786:G815 G752:G781 G718:G747 G684:G713 G650:G679 G616:G645 G582:G611 G548:G577 G514:G543 G480:G509 G446:G475 G412:G441 G378:G407 G344:G373 G310:G339 G276:G305 G242:G271 G208:G237 G174:G203 G140:G169 G106:G135 G72:G101 G38:G67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>
    <tabColor rgb="FFFFFF00"/>
  </sheetPr>
  <dimension ref="A1:H137"/>
  <sheetViews>
    <sheetView workbookViewId="0">
      <selection activeCell="B16" sqref="B16"/>
    </sheetView>
  </sheetViews>
  <sheetFormatPr defaultRowHeight="15" x14ac:dyDescent="0.25"/>
  <cols>
    <col min="1" max="1" width="26.140625" style="37" customWidth="1"/>
    <col min="2" max="2" width="26.140625" style="117" customWidth="1"/>
    <col min="3" max="3" width="26.140625" style="11" customWidth="1"/>
    <col min="4" max="4" width="26.140625" style="112" customWidth="1"/>
    <col min="5" max="5" width="24.7109375" style="90" customWidth="1"/>
    <col min="6" max="6" width="24.7109375" style="11" customWidth="1"/>
    <col min="7" max="8" width="26.140625" style="7" customWidth="1"/>
  </cols>
  <sheetData>
    <row r="1" spans="1:7" x14ac:dyDescent="0.25">
      <c r="A1" s="30" t="s">
        <v>105</v>
      </c>
      <c r="B1" s="113" t="s">
        <v>137</v>
      </c>
      <c r="C1" s="9" t="s">
        <v>112</v>
      </c>
      <c r="D1" s="34" t="s">
        <v>128</v>
      </c>
      <c r="E1" s="95" t="s">
        <v>8</v>
      </c>
      <c r="F1" s="96" t="s">
        <v>125</v>
      </c>
    </row>
    <row r="2" spans="1:7" x14ac:dyDescent="0.25">
      <c r="A2" s="30" t="s">
        <v>51</v>
      </c>
      <c r="B2" s="114" t="s">
        <v>185</v>
      </c>
      <c r="C2" s="10" t="s">
        <v>111</v>
      </c>
      <c r="D2" s="35">
        <v>43586</v>
      </c>
      <c r="E2" s="97" t="s">
        <v>60</v>
      </c>
      <c r="F2" s="98" t="s">
        <v>298</v>
      </c>
    </row>
    <row r="3" spans="1:7" x14ac:dyDescent="0.25">
      <c r="A3" s="30" t="s">
        <v>194</v>
      </c>
      <c r="B3" s="114" t="s">
        <v>372</v>
      </c>
      <c r="C3" s="10" t="s">
        <v>117</v>
      </c>
      <c r="D3" s="35">
        <v>43587</v>
      </c>
      <c r="E3" s="95" t="s">
        <v>11</v>
      </c>
      <c r="F3" s="96" t="s">
        <v>126</v>
      </c>
    </row>
    <row r="4" spans="1:7" x14ac:dyDescent="0.25">
      <c r="A4" s="30" t="s">
        <v>82</v>
      </c>
      <c r="B4" s="114" t="s">
        <v>139</v>
      </c>
      <c r="C4" s="10" t="s">
        <v>113</v>
      </c>
      <c r="D4" s="35">
        <v>43588</v>
      </c>
      <c r="E4" s="97" t="s">
        <v>56</v>
      </c>
      <c r="F4" s="98" t="s">
        <v>299</v>
      </c>
      <c r="G4" s="4"/>
    </row>
    <row r="5" spans="1:7" x14ac:dyDescent="0.25">
      <c r="A5" s="30" t="s">
        <v>83</v>
      </c>
      <c r="B5" s="114" t="s">
        <v>131</v>
      </c>
      <c r="C5" s="10" t="s">
        <v>130</v>
      </c>
      <c r="D5" s="35">
        <v>43594</v>
      </c>
      <c r="E5" s="95" t="s">
        <v>4</v>
      </c>
      <c r="F5" s="166" t="s">
        <v>127</v>
      </c>
      <c r="G5" s="160"/>
    </row>
    <row r="6" spans="1:7" x14ac:dyDescent="0.25">
      <c r="A6" s="30" t="s">
        <v>42</v>
      </c>
      <c r="B6" s="114" t="s">
        <v>109</v>
      </c>
      <c r="C6" s="10" t="s">
        <v>118</v>
      </c>
      <c r="D6" s="35">
        <v>43595</v>
      </c>
      <c r="E6" s="97" t="s">
        <v>58</v>
      </c>
      <c r="F6" s="167" t="s">
        <v>300</v>
      </c>
      <c r="G6" s="160"/>
    </row>
    <row r="7" spans="1:7" x14ac:dyDescent="0.25">
      <c r="A7" s="30" t="s">
        <v>122</v>
      </c>
      <c r="B7" s="114" t="s">
        <v>184</v>
      </c>
      <c r="C7" s="10" t="s">
        <v>119</v>
      </c>
      <c r="D7" s="35">
        <v>43628</v>
      </c>
      <c r="E7" s="95" t="s">
        <v>165</v>
      </c>
      <c r="F7" s="99" t="s">
        <v>167</v>
      </c>
      <c r="G7" s="4"/>
    </row>
    <row r="8" spans="1:7" x14ac:dyDescent="0.25">
      <c r="A8" s="30" t="s">
        <v>135</v>
      </c>
      <c r="B8" s="114" t="s">
        <v>86</v>
      </c>
      <c r="C8" s="10" t="s">
        <v>114</v>
      </c>
      <c r="D8" s="35">
        <v>43771</v>
      </c>
      <c r="E8" s="100" t="s">
        <v>166</v>
      </c>
      <c r="F8" s="101" t="s">
        <v>167</v>
      </c>
      <c r="G8" s="4"/>
    </row>
    <row r="9" spans="1:7" x14ac:dyDescent="0.25">
      <c r="A9" s="30" t="s">
        <v>136</v>
      </c>
      <c r="B9" s="114" t="s">
        <v>92</v>
      </c>
      <c r="C9" s="10" t="s">
        <v>115</v>
      </c>
      <c r="D9" s="35">
        <v>43772</v>
      </c>
      <c r="E9" s="100" t="s">
        <v>17</v>
      </c>
      <c r="F9" s="101" t="s">
        <v>167</v>
      </c>
      <c r="G9" s="4"/>
    </row>
    <row r="10" spans="1:7" x14ac:dyDescent="0.25">
      <c r="A10" s="30" t="s">
        <v>88</v>
      </c>
      <c r="B10" s="114" t="s">
        <v>148</v>
      </c>
      <c r="C10" s="10" t="s">
        <v>129</v>
      </c>
      <c r="D10" s="35">
        <v>43773</v>
      </c>
      <c r="E10" s="134" t="s">
        <v>199</v>
      </c>
      <c r="F10" s="96" t="s">
        <v>31</v>
      </c>
      <c r="G10" s="4"/>
    </row>
    <row r="11" spans="1:7" x14ac:dyDescent="0.25">
      <c r="A11" s="30" t="s">
        <v>89</v>
      </c>
      <c r="B11" s="114" t="s">
        <v>84</v>
      </c>
      <c r="C11" s="10" t="s">
        <v>120</v>
      </c>
      <c r="D11" s="35"/>
      <c r="E11" s="129" t="s">
        <v>74</v>
      </c>
      <c r="F11" s="103" t="s">
        <v>322</v>
      </c>
      <c r="G11" s="4"/>
    </row>
    <row r="12" spans="1:7" x14ac:dyDescent="0.25">
      <c r="A12" s="30" t="s">
        <v>106</v>
      </c>
      <c r="B12" s="114" t="s">
        <v>144</v>
      </c>
      <c r="C12" s="10" t="s">
        <v>145</v>
      </c>
      <c r="D12" s="35"/>
      <c r="E12" s="126" t="s">
        <v>2</v>
      </c>
      <c r="F12" s="107" t="s">
        <v>3</v>
      </c>
      <c r="G12" s="4"/>
    </row>
    <row r="13" spans="1:7" x14ac:dyDescent="0.25">
      <c r="A13" s="30" t="s">
        <v>107</v>
      </c>
      <c r="B13" s="114" t="s">
        <v>110</v>
      </c>
      <c r="C13" s="10" t="s">
        <v>121</v>
      </c>
      <c r="D13" s="35"/>
      <c r="E13" s="120" t="s">
        <v>181</v>
      </c>
      <c r="F13" s="107" t="s">
        <v>3</v>
      </c>
      <c r="G13" s="4"/>
    </row>
    <row r="14" spans="1:7" x14ac:dyDescent="0.25">
      <c r="A14" s="30" t="s">
        <v>108</v>
      </c>
      <c r="B14" s="114" t="s">
        <v>93</v>
      </c>
      <c r="C14" s="10" t="s">
        <v>116</v>
      </c>
      <c r="D14" s="35"/>
      <c r="E14" s="118" t="s">
        <v>182</v>
      </c>
      <c r="F14" s="107" t="s">
        <v>3</v>
      </c>
      <c r="G14" s="4"/>
    </row>
    <row r="15" spans="1:7" x14ac:dyDescent="0.25">
      <c r="A15" s="30" t="s">
        <v>143</v>
      </c>
      <c r="B15" s="114" t="s">
        <v>307</v>
      </c>
      <c r="C15" s="10" t="s">
        <v>147</v>
      </c>
      <c r="D15" s="35"/>
      <c r="E15" s="89" t="s">
        <v>68</v>
      </c>
      <c r="F15" s="87" t="s">
        <v>361</v>
      </c>
    </row>
    <row r="16" spans="1:7" x14ac:dyDescent="0.25">
      <c r="A16" s="31" t="s">
        <v>180</v>
      </c>
      <c r="B16" s="115" t="s">
        <v>336</v>
      </c>
      <c r="D16" s="35"/>
      <c r="E16" s="90" t="s">
        <v>152</v>
      </c>
      <c r="F16" s="11" t="s">
        <v>155</v>
      </c>
    </row>
    <row r="17" spans="1:6" x14ac:dyDescent="0.25">
      <c r="A17" s="31" t="s">
        <v>140</v>
      </c>
      <c r="B17" s="115" t="s">
        <v>335</v>
      </c>
      <c r="D17" s="35"/>
      <c r="E17" s="91" t="s">
        <v>172</v>
      </c>
      <c r="F17" s="11" t="s">
        <v>155</v>
      </c>
    </row>
    <row r="18" spans="1:6" x14ac:dyDescent="0.25">
      <c r="A18" s="31" t="s">
        <v>141</v>
      </c>
      <c r="B18" s="115" t="s">
        <v>193</v>
      </c>
      <c r="D18" s="116"/>
      <c r="E18" s="119" t="s">
        <v>183</v>
      </c>
      <c r="F18" s="11" t="s">
        <v>155</v>
      </c>
    </row>
    <row r="19" spans="1:6" x14ac:dyDescent="0.25">
      <c r="A19" s="31" t="s">
        <v>142</v>
      </c>
      <c r="B19" s="115" t="s">
        <v>213</v>
      </c>
      <c r="C19" s="10" t="s">
        <v>215</v>
      </c>
      <c r="D19" s="116"/>
      <c r="E19" s="108" t="s">
        <v>72</v>
      </c>
      <c r="F19" s="103" t="s">
        <v>343</v>
      </c>
    </row>
    <row r="20" spans="1:6" x14ac:dyDescent="0.25">
      <c r="A20" s="32" t="s">
        <v>138</v>
      </c>
      <c r="B20" s="115" t="s">
        <v>357</v>
      </c>
      <c r="D20" s="116"/>
      <c r="E20" s="109" t="s">
        <v>9</v>
      </c>
      <c r="F20" s="105" t="s">
        <v>10</v>
      </c>
    </row>
    <row r="21" spans="1:6" x14ac:dyDescent="0.25">
      <c r="A21" s="32" t="s">
        <v>138</v>
      </c>
      <c r="B21" s="115" t="s">
        <v>358</v>
      </c>
      <c r="E21" s="139" t="s">
        <v>224</v>
      </c>
      <c r="F21" s="11" t="s">
        <v>366</v>
      </c>
    </row>
    <row r="22" spans="1:6" x14ac:dyDescent="0.25">
      <c r="E22" s="108" t="s">
        <v>85</v>
      </c>
      <c r="F22" s="103" t="s">
        <v>351</v>
      </c>
    </row>
    <row r="23" spans="1:6" x14ac:dyDescent="0.25">
      <c r="E23" s="109" t="s">
        <v>6</v>
      </c>
      <c r="F23" s="105" t="s">
        <v>151</v>
      </c>
    </row>
    <row r="24" spans="1:6" x14ac:dyDescent="0.25">
      <c r="E24" s="139" t="s">
        <v>225</v>
      </c>
      <c r="F24" s="11" t="s">
        <v>344</v>
      </c>
    </row>
    <row r="25" spans="1:6" x14ac:dyDescent="0.25">
      <c r="E25" s="91" t="s">
        <v>41</v>
      </c>
      <c r="F25" s="11" t="s">
        <v>16</v>
      </c>
    </row>
    <row r="26" spans="1:6" x14ac:dyDescent="0.25">
      <c r="E26" s="108" t="s">
        <v>153</v>
      </c>
      <c r="F26" s="103" t="s">
        <v>1</v>
      </c>
    </row>
    <row r="27" spans="1:6" x14ac:dyDescent="0.25">
      <c r="E27" s="110" t="s">
        <v>154</v>
      </c>
      <c r="F27" s="107" t="s">
        <v>1</v>
      </c>
    </row>
    <row r="28" spans="1:6" x14ac:dyDescent="0.25">
      <c r="E28" s="106" t="s">
        <v>171</v>
      </c>
      <c r="F28" s="107" t="s">
        <v>1</v>
      </c>
    </row>
    <row r="29" spans="1:6" x14ac:dyDescent="0.25">
      <c r="E29" s="140" t="s">
        <v>48</v>
      </c>
      <c r="F29" s="93" t="s">
        <v>387</v>
      </c>
    </row>
    <row r="30" spans="1:6" x14ac:dyDescent="0.25">
      <c r="E30" s="260" t="s">
        <v>226</v>
      </c>
      <c r="F30" s="111" t="s">
        <v>309</v>
      </c>
    </row>
    <row r="31" spans="1:6" x14ac:dyDescent="0.25">
      <c r="E31" s="139" t="s">
        <v>227</v>
      </c>
      <c r="F31" s="11" t="s">
        <v>19</v>
      </c>
    </row>
    <row r="32" spans="1:6" x14ac:dyDescent="0.25">
      <c r="E32" s="102" t="s">
        <v>13</v>
      </c>
      <c r="F32" s="103" t="s">
        <v>10</v>
      </c>
    </row>
    <row r="33" spans="2:6" x14ac:dyDescent="0.25">
      <c r="E33" s="106" t="s">
        <v>81</v>
      </c>
      <c r="F33" s="107" t="s">
        <v>343</v>
      </c>
    </row>
    <row r="34" spans="2:6" x14ac:dyDescent="0.25">
      <c r="E34" s="142" t="s">
        <v>228</v>
      </c>
      <c r="F34" s="105" t="s">
        <v>10</v>
      </c>
    </row>
    <row r="35" spans="2:6" x14ac:dyDescent="0.25">
      <c r="E35" s="144" t="s">
        <v>229</v>
      </c>
      <c r="F35" s="11" t="s">
        <v>367</v>
      </c>
    </row>
    <row r="36" spans="2:6" x14ac:dyDescent="0.25">
      <c r="B36" s="373" t="s">
        <v>206</v>
      </c>
      <c r="C36" s="374"/>
      <c r="D36" s="11"/>
      <c r="E36" s="102" t="s">
        <v>14</v>
      </c>
      <c r="F36" s="103" t="s">
        <v>156</v>
      </c>
    </row>
    <row r="37" spans="2:6" x14ac:dyDescent="0.25">
      <c r="B37" s="371" t="s">
        <v>200</v>
      </c>
      <c r="C37" s="372"/>
      <c r="D37" s="11"/>
      <c r="E37" s="109" t="s">
        <v>90</v>
      </c>
      <c r="F37" s="105" t="s">
        <v>302</v>
      </c>
    </row>
    <row r="38" spans="2:6" ht="15" customHeight="1" x14ac:dyDescent="0.25">
      <c r="B38" s="371" t="s">
        <v>201</v>
      </c>
      <c r="C38" s="372"/>
      <c r="D38" s="11"/>
      <c r="E38" s="139" t="s">
        <v>230</v>
      </c>
      <c r="F38" s="11" t="s">
        <v>399</v>
      </c>
    </row>
    <row r="39" spans="2:6" x14ac:dyDescent="0.25">
      <c r="B39" s="379"/>
      <c r="C39" s="372"/>
      <c r="D39" s="11"/>
      <c r="E39" s="141" t="s">
        <v>231</v>
      </c>
      <c r="F39" s="111" t="s">
        <v>368</v>
      </c>
    </row>
    <row r="40" spans="2:6" x14ac:dyDescent="0.25">
      <c r="B40" s="379"/>
      <c r="C40" s="372"/>
      <c r="D40" s="11"/>
      <c r="E40" s="139" t="s">
        <v>232</v>
      </c>
      <c r="F40" s="11" t="s">
        <v>327</v>
      </c>
    </row>
    <row r="41" spans="2:6" ht="15" customHeight="1" x14ac:dyDescent="0.25">
      <c r="B41" s="380" t="s">
        <v>209</v>
      </c>
      <c r="C41" s="372"/>
      <c r="D41" s="11"/>
      <c r="E41" s="139" t="s">
        <v>233</v>
      </c>
      <c r="F41" s="11" t="s">
        <v>327</v>
      </c>
    </row>
    <row r="42" spans="2:6" x14ac:dyDescent="0.25">
      <c r="B42" s="379"/>
      <c r="C42" s="372"/>
      <c r="D42" s="11"/>
      <c r="E42" s="108" t="s">
        <v>157</v>
      </c>
      <c r="F42" s="103" t="s">
        <v>308</v>
      </c>
    </row>
    <row r="43" spans="2:6" ht="15" customHeight="1" x14ac:dyDescent="0.25">
      <c r="B43" s="371" t="s">
        <v>202</v>
      </c>
      <c r="C43" s="372"/>
      <c r="D43" s="11"/>
      <c r="E43" s="106" t="s">
        <v>159</v>
      </c>
      <c r="F43" s="107" t="s">
        <v>158</v>
      </c>
    </row>
    <row r="44" spans="2:6" ht="15" customHeight="1" x14ac:dyDescent="0.25">
      <c r="B44" s="371" t="s">
        <v>203</v>
      </c>
      <c r="C44" s="375"/>
      <c r="D44" s="11"/>
      <c r="E44" s="109" t="s">
        <v>164</v>
      </c>
      <c r="F44" s="105" t="s">
        <v>158</v>
      </c>
    </row>
    <row r="45" spans="2:6" ht="15" customHeight="1" x14ac:dyDescent="0.25">
      <c r="B45" s="376"/>
      <c r="C45" s="375"/>
      <c r="D45" s="11"/>
      <c r="E45" s="89" t="s">
        <v>12</v>
      </c>
      <c r="F45" s="87" t="s">
        <v>161</v>
      </c>
    </row>
    <row r="46" spans="2:6" ht="15" customHeight="1" x14ac:dyDescent="0.25">
      <c r="B46" s="371" t="s">
        <v>204</v>
      </c>
      <c r="C46" s="375"/>
      <c r="D46" s="11"/>
      <c r="E46" s="92" t="s">
        <v>160</v>
      </c>
      <c r="F46" s="88" t="s">
        <v>161</v>
      </c>
    </row>
    <row r="47" spans="2:6" ht="15" customHeight="1" x14ac:dyDescent="0.25">
      <c r="B47" s="376"/>
      <c r="C47" s="375"/>
      <c r="D47" s="11"/>
      <c r="E47" s="143" t="s">
        <v>234</v>
      </c>
      <c r="F47" s="107" t="s">
        <v>162</v>
      </c>
    </row>
    <row r="48" spans="2:6" x14ac:dyDescent="0.25">
      <c r="B48" s="376"/>
      <c r="C48" s="375"/>
      <c r="D48" s="11"/>
      <c r="E48" s="140" t="s">
        <v>236</v>
      </c>
      <c r="F48" s="93" t="s">
        <v>163</v>
      </c>
    </row>
    <row r="49" spans="2:6" x14ac:dyDescent="0.25">
      <c r="B49" s="377" t="s">
        <v>205</v>
      </c>
      <c r="C49" s="378"/>
      <c r="D49" s="11"/>
      <c r="E49" s="143" t="s">
        <v>235</v>
      </c>
      <c r="F49" s="107" t="s">
        <v>369</v>
      </c>
    </row>
    <row r="50" spans="2:6" x14ac:dyDescent="0.25">
      <c r="E50" s="140" t="s">
        <v>237</v>
      </c>
      <c r="F50" s="93" t="s">
        <v>33</v>
      </c>
    </row>
    <row r="51" spans="2:6" x14ac:dyDescent="0.25">
      <c r="E51" s="143" t="s">
        <v>238</v>
      </c>
      <c r="F51" s="107" t="s">
        <v>359</v>
      </c>
    </row>
    <row r="52" spans="2:6" x14ac:dyDescent="0.25">
      <c r="E52" s="159" t="s">
        <v>289</v>
      </c>
      <c r="F52" s="87" t="s">
        <v>306</v>
      </c>
    </row>
    <row r="53" spans="2:6" x14ac:dyDescent="0.25">
      <c r="E53" s="165" t="s">
        <v>294</v>
      </c>
      <c r="F53" s="111" t="s">
        <v>295</v>
      </c>
    </row>
    <row r="54" spans="2:6" x14ac:dyDescent="0.25">
      <c r="E54" s="92" t="s">
        <v>149</v>
      </c>
      <c r="F54" s="88" t="s">
        <v>150</v>
      </c>
    </row>
    <row r="55" spans="2:6" x14ac:dyDescent="0.25">
      <c r="E55" s="143" t="s">
        <v>239</v>
      </c>
      <c r="F55" s="107" t="s">
        <v>87</v>
      </c>
    </row>
    <row r="56" spans="2:6" x14ac:dyDescent="0.25">
      <c r="E56" s="140" t="s">
        <v>240</v>
      </c>
      <c r="F56" s="93" t="s">
        <v>334</v>
      </c>
    </row>
    <row r="57" spans="2:6" x14ac:dyDescent="0.25">
      <c r="E57" s="143" t="s">
        <v>52</v>
      </c>
      <c r="F57" s="107" t="s">
        <v>304</v>
      </c>
    </row>
    <row r="58" spans="2:6" x14ac:dyDescent="0.25">
      <c r="E58" s="140" t="s">
        <v>241</v>
      </c>
      <c r="F58" s="93" t="s">
        <v>168</v>
      </c>
    </row>
    <row r="59" spans="2:6" x14ac:dyDescent="0.25">
      <c r="E59" s="143" t="s">
        <v>242</v>
      </c>
      <c r="F59" s="107" t="s">
        <v>169</v>
      </c>
    </row>
    <row r="60" spans="2:6" x14ac:dyDescent="0.25">
      <c r="E60" s="198" t="s">
        <v>345</v>
      </c>
      <c r="F60" s="87" t="s">
        <v>347</v>
      </c>
    </row>
    <row r="61" spans="2:6" x14ac:dyDescent="0.25">
      <c r="E61" s="132" t="s">
        <v>195</v>
      </c>
      <c r="F61" s="88" t="s">
        <v>188</v>
      </c>
    </row>
    <row r="62" spans="2:6" x14ac:dyDescent="0.25">
      <c r="E62" s="143" t="s">
        <v>244</v>
      </c>
      <c r="F62" s="107" t="s">
        <v>170</v>
      </c>
    </row>
    <row r="63" spans="2:6" x14ac:dyDescent="0.25">
      <c r="E63" s="142" t="s">
        <v>243</v>
      </c>
      <c r="F63" s="105" t="s">
        <v>390</v>
      </c>
    </row>
    <row r="64" spans="2:6" x14ac:dyDescent="0.25">
      <c r="E64" s="139" t="s">
        <v>245</v>
      </c>
      <c r="F64" s="11" t="s">
        <v>187</v>
      </c>
    </row>
    <row r="65" spans="5:6" x14ac:dyDescent="0.25">
      <c r="E65" s="141" t="s">
        <v>246</v>
      </c>
      <c r="F65" s="111" t="s">
        <v>174</v>
      </c>
    </row>
    <row r="66" spans="5:6" x14ac:dyDescent="0.25">
      <c r="E66" s="139" t="s">
        <v>222</v>
      </c>
      <c r="F66" s="11" t="s">
        <v>303</v>
      </c>
    </row>
    <row r="67" spans="5:6" x14ac:dyDescent="0.25">
      <c r="E67" s="141" t="s">
        <v>247</v>
      </c>
      <c r="F67" s="111" t="s">
        <v>0</v>
      </c>
    </row>
    <row r="68" spans="5:6" x14ac:dyDescent="0.25">
      <c r="E68" s="139" t="s">
        <v>190</v>
      </c>
      <c r="F68" s="11" t="s">
        <v>146</v>
      </c>
    </row>
    <row r="69" spans="5:6" x14ac:dyDescent="0.25">
      <c r="E69" s="141" t="s">
        <v>248</v>
      </c>
      <c r="F69" s="111" t="s">
        <v>173</v>
      </c>
    </row>
    <row r="70" spans="5:6" x14ac:dyDescent="0.25">
      <c r="E70" s="91" t="s">
        <v>177</v>
      </c>
      <c r="F70" s="11" t="s">
        <v>175</v>
      </c>
    </row>
    <row r="71" spans="5:6" x14ac:dyDescent="0.25">
      <c r="E71" s="92" t="s">
        <v>176</v>
      </c>
      <c r="F71" s="88" t="s">
        <v>175</v>
      </c>
    </row>
    <row r="72" spans="5:6" x14ac:dyDescent="0.25">
      <c r="E72" s="143" t="s">
        <v>249</v>
      </c>
      <c r="F72" s="107" t="s">
        <v>178</v>
      </c>
    </row>
    <row r="73" spans="5:6" x14ac:dyDescent="0.25">
      <c r="E73" s="140" t="s">
        <v>250</v>
      </c>
      <c r="F73" s="93" t="s">
        <v>380</v>
      </c>
    </row>
    <row r="74" spans="5:6" x14ac:dyDescent="0.25">
      <c r="E74" s="143" t="s">
        <v>251</v>
      </c>
      <c r="F74" s="107" t="s">
        <v>179</v>
      </c>
    </row>
    <row r="75" spans="5:6" x14ac:dyDescent="0.25">
      <c r="E75" s="140" t="s">
        <v>252</v>
      </c>
      <c r="F75" s="93" t="s">
        <v>23</v>
      </c>
    </row>
    <row r="76" spans="5:6" x14ac:dyDescent="0.25">
      <c r="E76" s="108" t="s">
        <v>43</v>
      </c>
      <c r="F76" s="103" t="s">
        <v>301</v>
      </c>
    </row>
    <row r="77" spans="5:6" x14ac:dyDescent="0.25">
      <c r="E77" s="104" t="s">
        <v>45</v>
      </c>
      <c r="F77" s="105" t="s">
        <v>301</v>
      </c>
    </row>
    <row r="78" spans="5:6" x14ac:dyDescent="0.25">
      <c r="E78" s="94" t="s">
        <v>44</v>
      </c>
      <c r="F78" s="93" t="s">
        <v>297</v>
      </c>
    </row>
    <row r="79" spans="5:6" x14ac:dyDescent="0.25">
      <c r="E79" s="141" t="s">
        <v>223</v>
      </c>
      <c r="F79" s="111" t="s">
        <v>342</v>
      </c>
    </row>
    <row r="80" spans="5:6" x14ac:dyDescent="0.25">
      <c r="E80" s="151" t="s">
        <v>253</v>
      </c>
      <c r="F80" s="11" t="s">
        <v>186</v>
      </c>
    </row>
    <row r="81" spans="5:6" x14ac:dyDescent="0.25">
      <c r="E81" s="123" t="s">
        <v>254</v>
      </c>
      <c r="F81" s="124" t="s">
        <v>341</v>
      </c>
    </row>
    <row r="82" spans="5:6" x14ac:dyDescent="0.25">
      <c r="E82" s="130" t="s">
        <v>255</v>
      </c>
      <c r="F82" s="121" t="s">
        <v>340</v>
      </c>
    </row>
    <row r="83" spans="5:6" x14ac:dyDescent="0.25">
      <c r="E83" s="131" t="s">
        <v>189</v>
      </c>
      <c r="F83" s="122" t="s">
        <v>221</v>
      </c>
    </row>
    <row r="84" spans="5:6" x14ac:dyDescent="0.25">
      <c r="E84" s="141" t="s">
        <v>256</v>
      </c>
      <c r="F84" s="125" t="s">
        <v>22</v>
      </c>
    </row>
    <row r="85" spans="5:6" x14ac:dyDescent="0.25">
      <c r="E85" s="139" t="s">
        <v>257</v>
      </c>
      <c r="F85" s="11" t="s">
        <v>370</v>
      </c>
    </row>
    <row r="86" spans="5:6" x14ac:dyDescent="0.25">
      <c r="E86" s="141" t="s">
        <v>258</v>
      </c>
      <c r="F86" s="111" t="s">
        <v>191</v>
      </c>
    </row>
    <row r="87" spans="5:6" x14ac:dyDescent="0.25">
      <c r="E87" s="139" t="s">
        <v>259</v>
      </c>
      <c r="F87" s="11" t="s">
        <v>296</v>
      </c>
    </row>
    <row r="88" spans="5:6" x14ac:dyDescent="0.25">
      <c r="E88" s="141" t="s">
        <v>260</v>
      </c>
      <c r="F88" s="111" t="s">
        <v>192</v>
      </c>
    </row>
    <row r="89" spans="5:6" x14ac:dyDescent="0.25">
      <c r="E89" s="133" t="s">
        <v>196</v>
      </c>
      <c r="F89" s="11" t="s">
        <v>198</v>
      </c>
    </row>
    <row r="90" spans="5:6" x14ac:dyDescent="0.25">
      <c r="E90" s="133" t="s">
        <v>197</v>
      </c>
      <c r="F90" s="11" t="s">
        <v>198</v>
      </c>
    </row>
    <row r="91" spans="5:6" x14ac:dyDescent="0.25">
      <c r="E91" s="141" t="s">
        <v>261</v>
      </c>
      <c r="F91" s="111" t="s">
        <v>7</v>
      </c>
    </row>
    <row r="92" spans="5:6" x14ac:dyDescent="0.25">
      <c r="E92" s="139" t="s">
        <v>262</v>
      </c>
      <c r="F92" s="11" t="s">
        <v>18</v>
      </c>
    </row>
    <row r="93" spans="5:6" x14ac:dyDescent="0.25">
      <c r="E93" s="139" t="s">
        <v>263</v>
      </c>
      <c r="F93" s="11" t="s">
        <v>18</v>
      </c>
    </row>
    <row r="94" spans="5:6" x14ac:dyDescent="0.25">
      <c r="E94" s="141" t="s">
        <v>264</v>
      </c>
      <c r="F94" s="111" t="s">
        <v>207</v>
      </c>
    </row>
    <row r="95" spans="5:6" x14ac:dyDescent="0.25">
      <c r="E95" s="139" t="s">
        <v>265</v>
      </c>
      <c r="F95" s="11" t="s">
        <v>208</v>
      </c>
    </row>
    <row r="96" spans="5:6" x14ac:dyDescent="0.25">
      <c r="E96" s="108" t="s">
        <v>210</v>
      </c>
      <c r="F96" s="103" t="s">
        <v>211</v>
      </c>
    </row>
    <row r="97" spans="5:6" x14ac:dyDescent="0.25">
      <c r="E97" s="135" t="s">
        <v>212</v>
      </c>
      <c r="F97" s="105" t="s">
        <v>379</v>
      </c>
    </row>
    <row r="98" spans="5:6" x14ac:dyDescent="0.25">
      <c r="E98" s="139" t="s">
        <v>266</v>
      </c>
      <c r="F98" s="11" t="s">
        <v>385</v>
      </c>
    </row>
    <row r="99" spans="5:6" x14ac:dyDescent="0.25">
      <c r="E99" s="141" t="s">
        <v>267</v>
      </c>
      <c r="F99" s="111" t="s">
        <v>214</v>
      </c>
    </row>
    <row r="100" spans="5:6" x14ac:dyDescent="0.25">
      <c r="E100" s="90" t="s">
        <v>216</v>
      </c>
      <c r="F100" s="11" t="s">
        <v>20</v>
      </c>
    </row>
    <row r="101" spans="5:6" x14ac:dyDescent="0.25">
      <c r="E101" s="137" t="s">
        <v>268</v>
      </c>
      <c r="F101" s="138" t="s">
        <v>217</v>
      </c>
    </row>
    <row r="102" spans="5:6" x14ac:dyDescent="0.25">
      <c r="E102" s="227" t="s">
        <v>218</v>
      </c>
      <c r="F102" s="87" t="s">
        <v>375</v>
      </c>
    </row>
    <row r="103" spans="5:6" x14ac:dyDescent="0.25">
      <c r="E103" s="136" t="s">
        <v>219</v>
      </c>
      <c r="F103" s="88" t="s">
        <v>15</v>
      </c>
    </row>
    <row r="104" spans="5:6" x14ac:dyDescent="0.25">
      <c r="E104" s="141" t="s">
        <v>269</v>
      </c>
      <c r="F104" s="111" t="s">
        <v>220</v>
      </c>
    </row>
    <row r="105" spans="5:6" x14ac:dyDescent="0.25">
      <c r="E105" s="140" t="s">
        <v>270</v>
      </c>
      <c r="F105" s="93" t="s">
        <v>350</v>
      </c>
    </row>
    <row r="106" spans="5:6" x14ac:dyDescent="0.25">
      <c r="E106" s="148" t="s">
        <v>271</v>
      </c>
      <c r="F106" s="107" t="s">
        <v>272</v>
      </c>
    </row>
    <row r="107" spans="5:6" x14ac:dyDescent="0.25">
      <c r="E107" s="147" t="s">
        <v>273</v>
      </c>
      <c r="F107" s="93" t="s">
        <v>396</v>
      </c>
    </row>
    <row r="108" spans="5:6" x14ac:dyDescent="0.25">
      <c r="E108" s="149" t="s">
        <v>274</v>
      </c>
      <c r="F108" s="111" t="s">
        <v>320</v>
      </c>
    </row>
    <row r="109" spans="5:6" x14ac:dyDescent="0.25">
      <c r="E109" s="146" t="s">
        <v>275</v>
      </c>
      <c r="F109" s="93" t="s">
        <v>276</v>
      </c>
    </row>
    <row r="110" spans="5:6" x14ac:dyDescent="0.25">
      <c r="E110" s="150" t="s">
        <v>277</v>
      </c>
      <c r="F110" s="111" t="s">
        <v>278</v>
      </c>
    </row>
    <row r="111" spans="5:6" x14ac:dyDescent="0.25">
      <c r="E111" s="145" t="s">
        <v>279</v>
      </c>
      <c r="F111" s="93" t="s">
        <v>33</v>
      </c>
    </row>
    <row r="112" spans="5:6" x14ac:dyDescent="0.25">
      <c r="E112" s="154" t="s">
        <v>280</v>
      </c>
      <c r="F112" s="107" t="s">
        <v>281</v>
      </c>
    </row>
    <row r="113" spans="5:6" x14ac:dyDescent="0.25">
      <c r="E113" s="152" t="s">
        <v>282</v>
      </c>
      <c r="F113" s="93" t="s">
        <v>284</v>
      </c>
    </row>
    <row r="114" spans="5:6" x14ac:dyDescent="0.25">
      <c r="E114" s="155" t="s">
        <v>283</v>
      </c>
      <c r="F114" s="107" t="s">
        <v>21</v>
      </c>
    </row>
    <row r="115" spans="5:6" x14ac:dyDescent="0.25">
      <c r="E115" s="153" t="s">
        <v>285</v>
      </c>
      <c r="F115" s="93" t="s">
        <v>286</v>
      </c>
    </row>
    <row r="116" spans="5:6" x14ac:dyDescent="0.25">
      <c r="E116" s="156" t="s">
        <v>288</v>
      </c>
      <c r="F116" s="111" t="s">
        <v>287</v>
      </c>
    </row>
    <row r="117" spans="5:6" x14ac:dyDescent="0.25">
      <c r="E117" s="230" t="s">
        <v>376</v>
      </c>
      <c r="F117" s="11" t="s">
        <v>305</v>
      </c>
    </row>
    <row r="118" spans="5:6" x14ac:dyDescent="0.25">
      <c r="E118" s="180" t="s">
        <v>311</v>
      </c>
      <c r="F118" s="111" t="s">
        <v>310</v>
      </c>
    </row>
    <row r="119" spans="5:6" x14ac:dyDescent="0.25">
      <c r="E119" s="189" t="s">
        <v>326</v>
      </c>
      <c r="F119" s="11" t="s">
        <v>325</v>
      </c>
    </row>
    <row r="120" spans="5:6" x14ac:dyDescent="0.25">
      <c r="E120" s="191" t="s">
        <v>328</v>
      </c>
      <c r="F120" s="111" t="s">
        <v>331</v>
      </c>
    </row>
    <row r="121" spans="5:6" x14ac:dyDescent="0.25">
      <c r="E121" s="190" t="s">
        <v>329</v>
      </c>
      <c r="F121" s="11" t="s">
        <v>332</v>
      </c>
    </row>
    <row r="122" spans="5:6" x14ac:dyDescent="0.25">
      <c r="E122" s="191" t="s">
        <v>330</v>
      </c>
      <c r="F122" s="111" t="s">
        <v>333</v>
      </c>
    </row>
    <row r="123" spans="5:6" x14ac:dyDescent="0.25">
      <c r="E123" s="192" t="s">
        <v>337</v>
      </c>
      <c r="F123" s="93" t="s">
        <v>339</v>
      </c>
    </row>
    <row r="124" spans="5:6" x14ac:dyDescent="0.25">
      <c r="E124" s="199" t="s">
        <v>346</v>
      </c>
      <c r="F124" s="111" t="s">
        <v>348</v>
      </c>
    </row>
    <row r="125" spans="5:6" x14ac:dyDescent="0.25">
      <c r="E125" s="200" t="s">
        <v>349</v>
      </c>
      <c r="F125" s="11" t="s">
        <v>321</v>
      </c>
    </row>
    <row r="126" spans="5:6" x14ac:dyDescent="0.25">
      <c r="E126" s="203" t="s">
        <v>352</v>
      </c>
      <c r="F126" s="111" t="s">
        <v>353</v>
      </c>
    </row>
    <row r="127" spans="5:6" x14ac:dyDescent="0.25">
      <c r="E127" s="202" t="s">
        <v>323</v>
      </c>
      <c r="F127" s="93" t="s">
        <v>324</v>
      </c>
    </row>
    <row r="128" spans="5:6" x14ac:dyDescent="0.25">
      <c r="E128" s="150" t="s">
        <v>355</v>
      </c>
      <c r="F128" s="111" t="s">
        <v>354</v>
      </c>
    </row>
    <row r="129" spans="5:6" x14ac:dyDescent="0.25">
      <c r="E129" s="201" t="s">
        <v>356</v>
      </c>
      <c r="F129" s="11" t="s">
        <v>391</v>
      </c>
    </row>
    <row r="130" spans="5:6" x14ac:dyDescent="0.25">
      <c r="E130" s="150" t="s">
        <v>364</v>
      </c>
      <c r="F130" s="111" t="s">
        <v>365</v>
      </c>
    </row>
    <row r="131" spans="5:6" x14ac:dyDescent="0.25">
      <c r="E131" s="228" t="s">
        <v>373</v>
      </c>
      <c r="F131" s="11" t="s">
        <v>374</v>
      </c>
    </row>
    <row r="132" spans="5:6" x14ac:dyDescent="0.25">
      <c r="E132" s="243" t="s">
        <v>381</v>
      </c>
      <c r="F132" s="111" t="s">
        <v>384</v>
      </c>
    </row>
    <row r="133" spans="5:6" x14ac:dyDescent="0.25">
      <c r="E133" s="242" t="s">
        <v>382</v>
      </c>
      <c r="F133" s="11" t="s">
        <v>386</v>
      </c>
    </row>
    <row r="134" spans="5:6" x14ac:dyDescent="0.25">
      <c r="E134" s="259" t="s">
        <v>394</v>
      </c>
      <c r="F134" s="11" t="s">
        <v>395</v>
      </c>
    </row>
    <row r="135" spans="5:6" x14ac:dyDescent="0.25">
      <c r="E135" s="259" t="s">
        <v>401</v>
      </c>
      <c r="F135" s="11" t="s">
        <v>402</v>
      </c>
    </row>
    <row r="136" spans="5:6" x14ac:dyDescent="0.25">
      <c r="E136" s="264" t="s">
        <v>403</v>
      </c>
      <c r="F136" s="11" t="s">
        <v>405</v>
      </c>
    </row>
    <row r="137" spans="5:6" x14ac:dyDescent="0.25">
      <c r="E137" s="264" t="s">
        <v>414</v>
      </c>
      <c r="F137" s="11" t="s">
        <v>415</v>
      </c>
    </row>
  </sheetData>
  <mergeCells count="8">
    <mergeCell ref="B37:C37"/>
    <mergeCell ref="B36:C36"/>
    <mergeCell ref="B46:C48"/>
    <mergeCell ref="B44:C45"/>
    <mergeCell ref="B49:C49"/>
    <mergeCell ref="B43:C43"/>
    <mergeCell ref="B38:C40"/>
    <mergeCell ref="B41:C42"/>
  </mergeCells>
  <dataValidations count="1">
    <dataValidation allowBlank="1" showInputMessage="1" sqref="E26" xr:uid="{00000000-0002-0000-0300-000000000000}"/>
  </dataValidations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25"/>
  <sheetViews>
    <sheetView workbookViewId="0">
      <selection activeCell="K9" sqref="J7:K9"/>
    </sheetView>
  </sheetViews>
  <sheetFormatPr defaultRowHeight="15" x14ac:dyDescent="0.25"/>
  <cols>
    <col min="1" max="16384" width="9.140625" style="7"/>
  </cols>
  <sheetData>
    <row r="1" spans="1:8" x14ac:dyDescent="0.25">
      <c r="A1" s="181" t="s">
        <v>319</v>
      </c>
      <c r="B1" s="181" t="s">
        <v>312</v>
      </c>
      <c r="C1" s="181" t="s">
        <v>313</v>
      </c>
      <c r="D1" s="181" t="s">
        <v>314</v>
      </c>
      <c r="E1" s="181" t="s">
        <v>315</v>
      </c>
      <c r="F1" s="181" t="s">
        <v>316</v>
      </c>
      <c r="G1" s="181" t="s">
        <v>317</v>
      </c>
      <c r="H1" s="181" t="s">
        <v>318</v>
      </c>
    </row>
    <row r="2" spans="1:8" x14ac:dyDescent="0.25">
      <c r="A2" s="163"/>
      <c r="B2" s="193"/>
      <c r="C2" s="194"/>
      <c r="D2" s="194"/>
      <c r="E2" s="194" t="str">
        <f>IF(C2 = 0, "", C2*24*440)</f>
        <v/>
      </c>
      <c r="F2" s="194"/>
      <c r="G2" s="194"/>
      <c r="H2" s="195"/>
    </row>
    <row r="3" spans="1:8" x14ac:dyDescent="0.25">
      <c r="A3" s="184"/>
      <c r="B3" s="196"/>
      <c r="C3" s="4"/>
      <c r="D3" s="4"/>
      <c r="E3" s="4" t="str">
        <f t="shared" ref="E3:E25" si="0">IF(C3 = 0, "", C3*24*440)</f>
        <v/>
      </c>
      <c r="F3" s="4"/>
      <c r="G3" s="4"/>
      <c r="H3" s="182"/>
    </row>
    <row r="4" spans="1:8" x14ac:dyDescent="0.25">
      <c r="A4" s="184"/>
      <c r="B4" s="196"/>
      <c r="C4" s="4"/>
      <c r="D4" s="4"/>
      <c r="E4" s="4" t="str">
        <f t="shared" si="0"/>
        <v/>
      </c>
      <c r="F4" s="4"/>
      <c r="G4" s="4"/>
      <c r="H4" s="182"/>
    </row>
    <row r="5" spans="1:8" x14ac:dyDescent="0.25">
      <c r="A5" s="184"/>
      <c r="B5" s="196"/>
      <c r="C5" s="4"/>
      <c r="D5" s="4"/>
      <c r="E5" s="4" t="str">
        <f t="shared" si="0"/>
        <v/>
      </c>
      <c r="F5" s="4"/>
      <c r="G5" s="4"/>
      <c r="H5" s="182"/>
    </row>
    <row r="6" spans="1:8" x14ac:dyDescent="0.25">
      <c r="A6" s="184"/>
      <c r="B6" s="196"/>
      <c r="C6" s="4"/>
      <c r="D6" s="4"/>
      <c r="E6" s="4" t="str">
        <f t="shared" si="0"/>
        <v/>
      </c>
      <c r="F6" s="4"/>
      <c r="G6" s="4"/>
      <c r="H6" s="182"/>
    </row>
    <row r="7" spans="1:8" x14ac:dyDescent="0.25">
      <c r="A7" s="184"/>
      <c r="B7" s="196"/>
      <c r="C7" s="4"/>
      <c r="D7" s="4"/>
      <c r="E7" s="4" t="str">
        <f t="shared" si="0"/>
        <v/>
      </c>
      <c r="F7" s="4"/>
      <c r="G7" s="4"/>
      <c r="H7" s="182"/>
    </row>
    <row r="8" spans="1:8" x14ac:dyDescent="0.25">
      <c r="A8" s="184"/>
      <c r="B8" s="196"/>
      <c r="C8" s="4"/>
      <c r="D8" s="4"/>
      <c r="E8" s="4" t="str">
        <f t="shared" si="0"/>
        <v/>
      </c>
      <c r="F8" s="4"/>
      <c r="G8" s="4"/>
      <c r="H8" s="182"/>
    </row>
    <row r="9" spans="1:8" x14ac:dyDescent="0.25">
      <c r="A9" s="184"/>
      <c r="B9" s="196"/>
      <c r="C9" s="4"/>
      <c r="D9" s="4"/>
      <c r="E9" s="4" t="str">
        <f t="shared" si="0"/>
        <v/>
      </c>
      <c r="F9" s="4"/>
      <c r="G9" s="4"/>
      <c r="H9" s="182"/>
    </row>
    <row r="10" spans="1:8" x14ac:dyDescent="0.25">
      <c r="A10" s="184"/>
      <c r="B10" s="196"/>
      <c r="C10" s="4"/>
      <c r="D10" s="4"/>
      <c r="E10" s="4" t="str">
        <f t="shared" si="0"/>
        <v/>
      </c>
      <c r="F10" s="4"/>
      <c r="G10" s="4"/>
      <c r="H10" s="182"/>
    </row>
    <row r="11" spans="1:8" x14ac:dyDescent="0.25">
      <c r="A11" s="184"/>
      <c r="B11" s="196"/>
      <c r="C11" s="4"/>
      <c r="D11" s="4"/>
      <c r="E11" s="4" t="str">
        <f t="shared" si="0"/>
        <v/>
      </c>
      <c r="F11" s="4"/>
      <c r="G11" s="4"/>
      <c r="H11" s="182"/>
    </row>
    <row r="12" spans="1:8" x14ac:dyDescent="0.25">
      <c r="A12" s="184"/>
      <c r="B12" s="196"/>
      <c r="C12" s="4"/>
      <c r="D12" s="4"/>
      <c r="E12" s="4" t="str">
        <f t="shared" si="0"/>
        <v/>
      </c>
      <c r="F12" s="4"/>
      <c r="G12" s="4"/>
      <c r="H12" s="182"/>
    </row>
    <row r="13" spans="1:8" x14ac:dyDescent="0.25">
      <c r="A13" s="184"/>
      <c r="B13" s="196"/>
      <c r="C13" s="4"/>
      <c r="D13" s="4"/>
      <c r="E13" s="4" t="str">
        <f t="shared" si="0"/>
        <v/>
      </c>
      <c r="F13" s="4"/>
      <c r="G13" s="4"/>
      <c r="H13" s="182"/>
    </row>
    <row r="14" spans="1:8" x14ac:dyDescent="0.25">
      <c r="A14" s="184"/>
      <c r="B14" s="196"/>
      <c r="C14" s="4"/>
      <c r="D14" s="4"/>
      <c r="E14" s="4" t="str">
        <f t="shared" si="0"/>
        <v/>
      </c>
      <c r="F14" s="4"/>
      <c r="G14" s="4"/>
      <c r="H14" s="182"/>
    </row>
    <row r="15" spans="1:8" x14ac:dyDescent="0.25">
      <c r="A15" s="184"/>
      <c r="B15" s="196"/>
      <c r="C15" s="4"/>
      <c r="D15" s="4"/>
      <c r="E15" s="4" t="str">
        <f t="shared" si="0"/>
        <v/>
      </c>
      <c r="F15" s="4"/>
      <c r="G15" s="4"/>
      <c r="H15" s="182"/>
    </row>
    <row r="16" spans="1:8" x14ac:dyDescent="0.25">
      <c r="A16" s="184"/>
      <c r="B16" s="196"/>
      <c r="C16" s="4"/>
      <c r="D16" s="4"/>
      <c r="E16" s="4" t="str">
        <f t="shared" si="0"/>
        <v/>
      </c>
      <c r="F16" s="4"/>
      <c r="G16" s="4"/>
      <c r="H16" s="182"/>
    </row>
    <row r="17" spans="1:8" x14ac:dyDescent="0.25">
      <c r="A17" s="184"/>
      <c r="B17" s="196"/>
      <c r="C17" s="4"/>
      <c r="D17" s="4"/>
      <c r="E17" s="4" t="str">
        <f t="shared" si="0"/>
        <v/>
      </c>
      <c r="F17" s="4"/>
      <c r="G17" s="4"/>
      <c r="H17" s="182"/>
    </row>
    <row r="18" spans="1:8" x14ac:dyDescent="0.25">
      <c r="A18" s="184"/>
      <c r="B18" s="196"/>
      <c r="C18" s="4"/>
      <c r="D18" s="4"/>
      <c r="E18" s="4" t="str">
        <f t="shared" si="0"/>
        <v/>
      </c>
      <c r="F18" s="4"/>
      <c r="G18" s="4"/>
      <c r="H18" s="182"/>
    </row>
    <row r="19" spans="1:8" x14ac:dyDescent="0.25">
      <c r="A19" s="184"/>
      <c r="B19" s="196"/>
      <c r="C19" s="4"/>
      <c r="D19" s="4"/>
      <c r="E19" s="4" t="str">
        <f t="shared" si="0"/>
        <v/>
      </c>
      <c r="F19" s="4"/>
      <c r="G19" s="4"/>
      <c r="H19" s="182"/>
    </row>
    <row r="20" spans="1:8" x14ac:dyDescent="0.25">
      <c r="A20" s="184"/>
      <c r="B20" s="196"/>
      <c r="C20" s="4"/>
      <c r="D20" s="4"/>
      <c r="E20" s="4" t="str">
        <f t="shared" si="0"/>
        <v/>
      </c>
      <c r="F20" s="4"/>
      <c r="G20" s="4"/>
      <c r="H20" s="182"/>
    </row>
    <row r="21" spans="1:8" x14ac:dyDescent="0.25">
      <c r="A21" s="184"/>
      <c r="B21" s="196"/>
      <c r="C21" s="4"/>
      <c r="D21" s="4"/>
      <c r="E21" s="4" t="str">
        <f t="shared" si="0"/>
        <v/>
      </c>
      <c r="F21" s="4"/>
      <c r="G21" s="4"/>
      <c r="H21" s="182"/>
    </row>
    <row r="22" spans="1:8" x14ac:dyDescent="0.25">
      <c r="A22" s="184"/>
      <c r="B22" s="196"/>
      <c r="C22" s="4"/>
      <c r="D22" s="4"/>
      <c r="E22" s="4" t="str">
        <f t="shared" si="0"/>
        <v/>
      </c>
      <c r="F22" s="4"/>
      <c r="G22" s="4"/>
      <c r="H22" s="182"/>
    </row>
    <row r="23" spans="1:8" x14ac:dyDescent="0.25">
      <c r="A23" s="184"/>
      <c r="B23" s="196"/>
      <c r="C23" s="4"/>
      <c r="D23" s="4"/>
      <c r="E23" s="4" t="str">
        <f t="shared" si="0"/>
        <v/>
      </c>
      <c r="F23" s="4"/>
      <c r="G23" s="4"/>
      <c r="H23" s="182"/>
    </row>
    <row r="24" spans="1:8" x14ac:dyDescent="0.25">
      <c r="A24" s="184"/>
      <c r="B24" s="196"/>
      <c r="C24" s="4"/>
      <c r="D24" s="4"/>
      <c r="E24" s="4" t="str">
        <f t="shared" si="0"/>
        <v/>
      </c>
      <c r="F24" s="4"/>
      <c r="G24" s="4"/>
      <c r="H24" s="182"/>
    </row>
    <row r="25" spans="1:8" x14ac:dyDescent="0.25">
      <c r="A25" s="164"/>
      <c r="B25" s="197"/>
      <c r="C25" s="183"/>
      <c r="D25" s="183"/>
      <c r="E25" s="183" t="str">
        <f t="shared" si="0"/>
        <v/>
      </c>
      <c r="F25" s="183"/>
      <c r="G25" s="183"/>
      <c r="H25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2</vt:i4>
      </vt:variant>
    </vt:vector>
  </HeadingPairs>
  <TitlesOfParts>
    <vt:vector size="7" baseType="lpstr">
      <vt:lpstr>01.2020</vt:lpstr>
      <vt:lpstr>Овертаймы, км. (EN)</vt:lpstr>
      <vt:lpstr>Шаблон на месяц</vt:lpstr>
      <vt:lpstr>Списки</vt:lpstr>
      <vt:lpstr>list</vt:lpstr>
      <vt:lpstr>'01.2020'!Область_печати</vt:lpstr>
      <vt:lpstr>'Шаблон на месяц'!Область_печати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HSteel</dc:creator>
  <cp:lastModifiedBy>Det</cp:lastModifiedBy>
  <cp:lastPrinted>2020-01-31T13:23:19Z</cp:lastPrinted>
  <dcterms:created xsi:type="dcterms:W3CDTF">2006-09-16T00:00:00Z</dcterms:created>
  <dcterms:modified xsi:type="dcterms:W3CDTF">2020-02-02T19:53:12Z</dcterms:modified>
</cp:coreProperties>
</file>